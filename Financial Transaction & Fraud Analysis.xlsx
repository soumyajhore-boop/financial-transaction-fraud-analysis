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  <sheet state="visible" name="Accounts" sheetId="2" r:id="rId6"/>
    <sheet state="visible" name="Transactions" sheetId="3" r:id="rId7"/>
    <sheet state="visible" name="Fraud Risk Transactions" sheetId="4" r:id="rId8"/>
    <sheet state="visible" name="Analysis" sheetId="5" r:id="rId9"/>
  </sheets>
  <definedNames/>
  <calcPr/>
</workbook>
</file>

<file path=xl/sharedStrings.xml><?xml version="1.0" encoding="utf-8"?>
<sst xmlns="http://schemas.openxmlformats.org/spreadsheetml/2006/main" count="1017" uniqueCount="254">
  <si>
    <t>Account Id</t>
  </si>
  <si>
    <t>Customer Id</t>
  </si>
  <si>
    <t>Transaction Id</t>
  </si>
  <si>
    <t>Account Number</t>
  </si>
  <si>
    <t>Customer ID</t>
  </si>
  <si>
    <t>Account Type</t>
  </si>
  <si>
    <t>Opening Date</t>
  </si>
  <si>
    <t>Balance</t>
  </si>
  <si>
    <t>Transaction Date</t>
  </si>
  <si>
    <t>Transaction ID</t>
  </si>
  <si>
    <t>Transaction Type</t>
  </si>
  <si>
    <t>Status</t>
  </si>
  <si>
    <t>First Name</t>
  </si>
  <si>
    <t>Amount</t>
  </si>
  <si>
    <t>Last Name</t>
  </si>
  <si>
    <t>Merchant Name</t>
  </si>
  <si>
    <t>Gender</t>
  </si>
  <si>
    <t>Account ID</t>
  </si>
  <si>
    <t>Merchant Category</t>
  </si>
  <si>
    <t>SB100001</t>
  </si>
  <si>
    <t>Date of Birth</t>
  </si>
  <si>
    <t>Savings</t>
  </si>
  <si>
    <t>City</t>
  </si>
  <si>
    <t>State</t>
  </si>
  <si>
    <t>Payment Mode</t>
  </si>
  <si>
    <t>Active</t>
  </si>
  <si>
    <t>Country</t>
  </si>
  <si>
    <t>SB100002</t>
  </si>
  <si>
    <t>Customer Since</t>
  </si>
  <si>
    <t>Risk Level</t>
  </si>
  <si>
    <t>Debit</t>
  </si>
  <si>
    <t>SA100003</t>
  </si>
  <si>
    <t>Salary</t>
  </si>
  <si>
    <t>Amazon</t>
  </si>
  <si>
    <t>Rahul</t>
  </si>
  <si>
    <t>Shopping</t>
  </si>
  <si>
    <t>Sharma</t>
  </si>
  <si>
    <t>Kolkata</t>
  </si>
  <si>
    <t>Male</t>
  </si>
  <si>
    <t>West Bengal</t>
  </si>
  <si>
    <t>Customer Risk Level</t>
  </si>
  <si>
    <t>UPI</t>
  </si>
  <si>
    <t>SB100004</t>
  </si>
  <si>
    <t>Success</t>
  </si>
  <si>
    <t>Fraud Flag</t>
  </si>
  <si>
    <t>Fraud Risk Reason</t>
  </si>
  <si>
    <t>CU100005</t>
  </si>
  <si>
    <t>Current</t>
  </si>
  <si>
    <t>Swiggy</t>
  </si>
  <si>
    <t>India</t>
  </si>
  <si>
    <t>Food</t>
  </si>
  <si>
    <t>Low</t>
  </si>
  <si>
    <t>SB100006</t>
  </si>
  <si>
    <t>Priya</t>
  </si>
  <si>
    <t>Mukherjee</t>
  </si>
  <si>
    <t>Female</t>
  </si>
  <si>
    <t>SA100007</t>
  </si>
  <si>
    <t>Credit</t>
  </si>
  <si>
    <t>Salary Credit</t>
  </si>
  <si>
    <t>Delhi</t>
  </si>
  <si>
    <t>Arjun</t>
  </si>
  <si>
    <t>SB100008</t>
  </si>
  <si>
    <t>Singh</t>
  </si>
  <si>
    <t>Net Banking</t>
  </si>
  <si>
    <t>New Delhi</t>
  </si>
  <si>
    <t>CU100009</t>
  </si>
  <si>
    <t>Medium</t>
  </si>
  <si>
    <t>Reliance Digital</t>
  </si>
  <si>
    <t>Electronics</t>
  </si>
  <si>
    <t>Neha</t>
  </si>
  <si>
    <t>Mumbai</t>
  </si>
  <si>
    <t>SB100010</t>
  </si>
  <si>
    <t>Verma</t>
  </si>
  <si>
    <t>Maharashtra</t>
  </si>
  <si>
    <t>Debit Card</t>
  </si>
  <si>
    <t>SB100011</t>
  </si>
  <si>
    <t>Indian Oil</t>
  </si>
  <si>
    <t>Rohan</t>
  </si>
  <si>
    <t>Fuel</t>
  </si>
  <si>
    <t>Das</t>
  </si>
  <si>
    <t>Bangalore</t>
  </si>
  <si>
    <t>SB100012</t>
  </si>
  <si>
    <t>Karnataka</t>
  </si>
  <si>
    <t>Credit Card</t>
  </si>
  <si>
    <t>SA100013</t>
  </si>
  <si>
    <t>Sneha</t>
  </si>
  <si>
    <t>Roy</t>
  </si>
  <si>
    <t>Zomato</t>
  </si>
  <si>
    <t>SB100014</t>
  </si>
  <si>
    <t>Amit</t>
  </si>
  <si>
    <t>Gupta</t>
  </si>
  <si>
    <t>CU100015</t>
  </si>
  <si>
    <t>Hyderabad</t>
  </si>
  <si>
    <t>Client Payment</t>
  </si>
  <si>
    <t>Telamgana</t>
  </si>
  <si>
    <t>Business</t>
  </si>
  <si>
    <t>Telangana</t>
  </si>
  <si>
    <t>SB100016</t>
  </si>
  <si>
    <t>High</t>
  </si>
  <si>
    <t>NEFT</t>
  </si>
  <si>
    <t>Pooja</t>
  </si>
  <si>
    <t>Nair</t>
  </si>
  <si>
    <t>SA100017</t>
  </si>
  <si>
    <t>Chennai</t>
  </si>
  <si>
    <t>Big Bazaar</t>
  </si>
  <si>
    <t>Tamil Nadu</t>
  </si>
  <si>
    <t>Groceries</t>
  </si>
  <si>
    <t>SB100018</t>
  </si>
  <si>
    <t>Vikram</t>
  </si>
  <si>
    <t>Patel</t>
  </si>
  <si>
    <t>Ahmedabad</t>
  </si>
  <si>
    <t>Gujarat</t>
  </si>
  <si>
    <t>CU100019</t>
  </si>
  <si>
    <t>MakeMyTrip</t>
  </si>
  <si>
    <t>Travel</t>
  </si>
  <si>
    <t>Dormant</t>
  </si>
  <si>
    <t>Ananya</t>
  </si>
  <si>
    <t>Sen</t>
  </si>
  <si>
    <t>SB100020</t>
  </si>
  <si>
    <t>Pune</t>
  </si>
  <si>
    <t>SA100021</t>
  </si>
  <si>
    <t>Apollo Pharmacy</t>
  </si>
  <si>
    <t>Healthcare</t>
  </si>
  <si>
    <t>Karan</t>
  </si>
  <si>
    <t>SB100022</t>
  </si>
  <si>
    <t>Mehta</t>
  </si>
  <si>
    <t>Jaipur</t>
  </si>
  <si>
    <t>Rajasthan</t>
  </si>
  <si>
    <t>CU100023</t>
  </si>
  <si>
    <t>Frozen</t>
  </si>
  <si>
    <t>Ritika</t>
  </si>
  <si>
    <t>Netflix</t>
  </si>
  <si>
    <t>Kapoor</t>
  </si>
  <si>
    <t>Entertainment</t>
  </si>
  <si>
    <t>SB100024</t>
  </si>
  <si>
    <t>Chandigarh</t>
  </si>
  <si>
    <t>Punjab</t>
  </si>
  <si>
    <t>SA100025</t>
  </si>
  <si>
    <t>Sourav</t>
  </si>
  <si>
    <t>Ghosh</t>
  </si>
  <si>
    <t>Myntra</t>
  </si>
  <si>
    <t>SB100026</t>
  </si>
  <si>
    <t>Nikita</t>
  </si>
  <si>
    <t>Saha</t>
  </si>
  <si>
    <t>Agartala</t>
  </si>
  <si>
    <t>Tripura</t>
  </si>
  <si>
    <t>CU100027</t>
  </si>
  <si>
    <t>Abhishek</t>
  </si>
  <si>
    <t>Yadav</t>
  </si>
  <si>
    <t>SB100028</t>
  </si>
  <si>
    <t>Lucknow</t>
  </si>
  <si>
    <t>Uttar Pradesh</t>
  </si>
  <si>
    <t>Megha</t>
  </si>
  <si>
    <t>SA100029</t>
  </si>
  <si>
    <t>Joshi</t>
  </si>
  <si>
    <t>DMart</t>
  </si>
  <si>
    <t>Dehradun</t>
  </si>
  <si>
    <t>Uttarakhand</t>
  </si>
  <si>
    <t>SB100030</t>
  </si>
  <si>
    <t>Sandeep</t>
  </si>
  <si>
    <t>Reddy</t>
  </si>
  <si>
    <t>Air India</t>
  </si>
  <si>
    <t>Ishita</t>
  </si>
  <si>
    <t>Banerjee</t>
  </si>
  <si>
    <t>Spotify</t>
  </si>
  <si>
    <t>Harsh</t>
  </si>
  <si>
    <t>Agarwal</t>
  </si>
  <si>
    <t>Indore</t>
  </si>
  <si>
    <t>Madhya Pradesh</t>
  </si>
  <si>
    <t>Komal</t>
  </si>
  <si>
    <t>Chopra</t>
  </si>
  <si>
    <t>Croma</t>
  </si>
  <si>
    <t>Aditya</t>
  </si>
  <si>
    <t>Kulkarni</t>
  </si>
  <si>
    <t>Metro</t>
  </si>
  <si>
    <t>Transport</t>
  </si>
  <si>
    <t>Shruti</t>
  </si>
  <si>
    <t>Mishra</t>
  </si>
  <si>
    <t>Varanasi</t>
  </si>
  <si>
    <t>Business Income</t>
  </si>
  <si>
    <t>Manish</t>
  </si>
  <si>
    <t>Kumar</t>
  </si>
  <si>
    <t>RTGS</t>
  </si>
  <si>
    <t>Patna</t>
  </si>
  <si>
    <t>Bihar</t>
  </si>
  <si>
    <t>Riya</t>
  </si>
  <si>
    <t>Pantaloons</t>
  </si>
  <si>
    <t>Paul</t>
  </si>
  <si>
    <t>Siliguri</t>
  </si>
  <si>
    <t>Deepak</t>
  </si>
  <si>
    <t>Naidu</t>
  </si>
  <si>
    <t>Cafe Coffee Day</t>
  </si>
  <si>
    <t>Visakhapatnam</t>
  </si>
  <si>
    <t>Andhra Pradesh</t>
  </si>
  <si>
    <t>Ankita</t>
  </si>
  <si>
    <t>Bhubaneswar</t>
  </si>
  <si>
    <t>Odisha</t>
  </si>
  <si>
    <t>BookMyShow</t>
  </si>
  <si>
    <t>Varun</t>
  </si>
  <si>
    <t>Malhotra</t>
  </si>
  <si>
    <t>Noida</t>
  </si>
  <si>
    <t>Samsung</t>
  </si>
  <si>
    <t>Swati</t>
  </si>
  <si>
    <t>Iyer</t>
  </si>
  <si>
    <t>Naveen</t>
  </si>
  <si>
    <t>Pillai</t>
  </si>
  <si>
    <t>Kochi</t>
  </si>
  <si>
    <t>Kerala</t>
  </si>
  <si>
    <t>Uber</t>
  </si>
  <si>
    <t>Ayesha</t>
  </si>
  <si>
    <t>Khan</t>
  </si>
  <si>
    <t>Bhopal</t>
  </si>
  <si>
    <t>Dominos</t>
  </si>
  <si>
    <t>Tata Motors</t>
  </si>
  <si>
    <t>Automobile</t>
  </si>
  <si>
    <t>Lifestyle</t>
  </si>
  <si>
    <t>Reliance Smart</t>
  </si>
  <si>
    <t>Unknown Merchant</t>
  </si>
  <si>
    <t>Luxury Watches</t>
  </si>
  <si>
    <t>Luxury</t>
  </si>
  <si>
    <t>Dubai</t>
  </si>
  <si>
    <t>Electronics Hub</t>
  </si>
  <si>
    <t>Failed</t>
  </si>
  <si>
    <t>Crypto Exchange</t>
  </si>
  <si>
    <t>Crypto</t>
  </si>
  <si>
    <t>Singapore</t>
  </si>
  <si>
    <t>Luxury Cars</t>
  </si>
  <si>
    <t>Bangkok</t>
  </si>
  <si>
    <t>Thailand</t>
  </si>
  <si>
    <t>High Risk Store</t>
  </si>
  <si>
    <t>Jewellery</t>
  </si>
  <si>
    <t>Unknown Electronics</t>
  </si>
  <si>
    <t xml:space="preserve">1. Overall KPIs  </t>
  </si>
  <si>
    <t>Total Customers</t>
  </si>
  <si>
    <t>Total Accounts</t>
  </si>
  <si>
    <t>Total Transactions</t>
  </si>
  <si>
    <t>Total Transaction Value</t>
  </si>
  <si>
    <t>Average Transaction Amount</t>
  </si>
  <si>
    <t>2. Transaction Status</t>
  </si>
  <si>
    <t>Transactions</t>
  </si>
  <si>
    <t>Pending</t>
  </si>
  <si>
    <t>3. Transaction Type</t>
  </si>
  <si>
    <t>Count</t>
  </si>
  <si>
    <t>4. Payment Mode</t>
  </si>
  <si>
    <t>5. Customer Risk</t>
  </si>
  <si>
    <t>Customers</t>
  </si>
  <si>
    <t>6. Fraud Analysis</t>
  </si>
  <si>
    <t>Transactions for Review</t>
  </si>
  <si>
    <t>Normal Transactions</t>
  </si>
  <si>
    <t>High Value Transactions</t>
  </si>
  <si>
    <t>Failed Transactions</t>
  </si>
  <si>
    <t>High Risk Customer Transactions</t>
  </si>
  <si>
    <t>Review Rate</t>
  </si>
  <si>
    <t>Fraud Indicator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</si>
</sst>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b/>
      <sz val="36.0"/>
      <color theme="1"/>
      <name val="Arial"/>
      <scheme val="minor"/>
    </font>
    <font>
      <b/>
      <sz val="17.0"/>
      <color theme="1"/>
      <name val="Arial"/>
      <scheme val="minor"/>
    </font>
    <font>
      <b/>
      <sz val="19.0"/>
      <color theme="1"/>
      <name val="Arial"/>
      <scheme val="minor"/>
    </font>
    <font>
      <b/>
      <sz val="2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left" readingOrder="0"/>
    </xf>
    <xf borderId="0" fillId="0" fontId="1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nalys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Transactions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Analysis!$C$6:$C$7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Analysis!$B$8:$B$10</c:f>
            </c:strRef>
          </c:cat>
          <c:val>
            <c:numRef>
              <c:f>Analysis!$C$8:$C$10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Transaction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Analysis!$C$18:$C$19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Analysis!$B$20:$B$21</c:f>
            </c:strRef>
          </c:cat>
          <c:val>
            <c:numRef>
              <c:f>Analysis!$C$20:$C$21</c:f>
              <c:numCache/>
            </c:numRef>
          </c:val>
        </c:ser>
        <c:axId val="1102938761"/>
        <c:axId val="146016330"/>
      </c:barChart>
      <c:catAx>
        <c:axId val="1102938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Transaction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016330"/>
      </c:catAx>
      <c:valAx>
        <c:axId val="1460163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29387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Payment Mode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Analysis!$C$29:$C$30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Analysis!$B$31:$B$36</c:f>
            </c:strRef>
          </c:cat>
          <c:val>
            <c:numRef>
              <c:f>Analysis!$C$31:$C$36</c:f>
              <c:numCache/>
            </c:numRef>
          </c:val>
        </c:ser>
        <c:axId val="2043561015"/>
        <c:axId val="378297103"/>
      </c:barChart>
      <c:catAx>
        <c:axId val="20435610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Payment Mode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297103"/>
      </c:catAx>
      <c:valAx>
        <c:axId val="3782971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356101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Risk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Analysis!$C$41:$C$42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Analysis!$B$43:$B$45</c:f>
            </c:strRef>
          </c:cat>
          <c:val>
            <c:numRef>
              <c:f>Analysis!$C$43:$C$45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Normal Transactions vs Transactions for Review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Analysis!$C$55:$D$55</c:f>
            </c:strRef>
          </c:cat>
          <c:val>
            <c:numRef>
              <c:f>Analysis!$C$56:$D$56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Fraud Indicator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Analysis!$D$72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Analysis!$C$73:$C$75</c:f>
            </c:strRef>
          </c:cat>
          <c:val>
            <c:numRef>
              <c:f>Analysis!$D$73:$D$75</c:f>
              <c:numCache/>
            </c:numRef>
          </c:val>
        </c:ser>
        <c:axId val="52932190"/>
        <c:axId val="662480032"/>
      </c:barChart>
      <c:catAx>
        <c:axId val="52932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Fraud Indicator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480032"/>
      </c:catAx>
      <c:valAx>
        <c:axId val="662480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9321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5</xdr:row>
      <xdr:rowOff>19050</xdr:rowOff>
    </xdr:from>
    <xdr:ext cx="3448050" cy="2114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</xdr:colOff>
      <xdr:row>16</xdr:row>
      <xdr:rowOff>171450</xdr:rowOff>
    </xdr:from>
    <xdr:ext cx="3486150" cy="21621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9525</xdr:colOff>
      <xdr:row>27</xdr:row>
      <xdr:rowOff>190500</xdr:rowOff>
    </xdr:from>
    <xdr:ext cx="3486150" cy="21621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9525</xdr:colOff>
      <xdr:row>40</xdr:row>
      <xdr:rowOff>9525</xdr:rowOff>
    </xdr:from>
    <xdr:ext cx="3486150" cy="21621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9525</xdr:colOff>
      <xdr:row>57</xdr:row>
      <xdr:rowOff>9525</xdr:rowOff>
    </xdr:from>
    <xdr:ext cx="5305425" cy="21621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1019175</xdr:colOff>
      <xdr:row>69</xdr:row>
      <xdr:rowOff>76200</xdr:rowOff>
    </xdr:from>
    <xdr:ext cx="3724275" cy="22955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72:D75" displayName="Fraud_Indicator" name="Fraud_Indicator" id="1">
  <tableColumns count="2">
    <tableColumn name="Fraud Indicator" id="1"/>
    <tableColumn name="Count" id="2"/>
  </tableColumns>
  <tableStyleInfo name="Analy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12</v>
      </c>
      <c r="C1" s="1" t="s">
        <v>14</v>
      </c>
      <c r="D1" s="1" t="s">
        <v>16</v>
      </c>
      <c r="E1" s="1" t="s">
        <v>20</v>
      </c>
      <c r="F1" s="1" t="s">
        <v>22</v>
      </c>
      <c r="G1" s="1" t="s">
        <v>23</v>
      </c>
      <c r="H1" s="1" t="s">
        <v>26</v>
      </c>
      <c r="I1" s="1" t="s">
        <v>28</v>
      </c>
      <c r="J1" s="2" t="s">
        <v>29</v>
      </c>
    </row>
    <row r="2">
      <c r="A2" s="4">
        <v>1.0</v>
      </c>
      <c r="B2" s="4" t="s">
        <v>34</v>
      </c>
      <c r="C2" s="4" t="s">
        <v>36</v>
      </c>
      <c r="D2" s="4" t="s">
        <v>38</v>
      </c>
      <c r="E2" s="5">
        <v>34071.0</v>
      </c>
      <c r="F2" s="4" t="s">
        <v>37</v>
      </c>
      <c r="G2" s="4" t="s">
        <v>39</v>
      </c>
      <c r="H2" s="4" t="s">
        <v>49</v>
      </c>
      <c r="I2" s="5">
        <v>43539.0</v>
      </c>
      <c r="J2" s="4" t="s">
        <v>51</v>
      </c>
    </row>
    <row r="3">
      <c r="A3" s="4">
        <v>2.0</v>
      </c>
      <c r="B3" s="4" t="s">
        <v>53</v>
      </c>
      <c r="C3" s="4" t="s">
        <v>54</v>
      </c>
      <c r="D3" s="4" t="s">
        <v>55</v>
      </c>
      <c r="E3" s="5">
        <v>35006.0</v>
      </c>
      <c r="F3" s="4" t="s">
        <v>37</v>
      </c>
      <c r="G3" s="4" t="s">
        <v>39</v>
      </c>
      <c r="H3" s="4" t="s">
        <v>49</v>
      </c>
      <c r="I3" s="5">
        <v>44022.0</v>
      </c>
      <c r="J3" s="4" t="s">
        <v>51</v>
      </c>
    </row>
    <row r="4">
      <c r="A4" s="4">
        <v>3.0</v>
      </c>
      <c r="B4" s="4" t="s">
        <v>60</v>
      </c>
      <c r="C4" s="4" t="s">
        <v>62</v>
      </c>
      <c r="D4" s="4" t="s">
        <v>38</v>
      </c>
      <c r="E4" s="5">
        <v>33498.0</v>
      </c>
      <c r="F4" s="4" t="s">
        <v>59</v>
      </c>
      <c r="G4" s="4" t="s">
        <v>64</v>
      </c>
      <c r="H4" s="4" t="s">
        <v>49</v>
      </c>
      <c r="I4" s="5">
        <v>43122.0</v>
      </c>
      <c r="J4" s="4" t="s">
        <v>66</v>
      </c>
    </row>
    <row r="5">
      <c r="A5" s="4">
        <v>4.0</v>
      </c>
      <c r="B5" s="4" t="s">
        <v>69</v>
      </c>
      <c r="C5" s="4" t="s">
        <v>72</v>
      </c>
      <c r="D5" s="4" t="s">
        <v>55</v>
      </c>
      <c r="E5" s="5">
        <v>35850.0</v>
      </c>
      <c r="F5" s="4" t="s">
        <v>70</v>
      </c>
      <c r="G5" s="4" t="s">
        <v>73</v>
      </c>
      <c r="H5" s="4" t="s">
        <v>49</v>
      </c>
      <c r="I5" s="5">
        <v>44717.0</v>
      </c>
      <c r="J5" s="4" t="s">
        <v>51</v>
      </c>
    </row>
    <row r="6">
      <c r="A6" s="4">
        <v>5.0</v>
      </c>
      <c r="B6" s="4" t="s">
        <v>77</v>
      </c>
      <c r="C6" s="4" t="s">
        <v>79</v>
      </c>
      <c r="D6" s="4" t="s">
        <v>38</v>
      </c>
      <c r="E6" s="5">
        <v>33072.0</v>
      </c>
      <c r="F6" s="4" t="s">
        <v>80</v>
      </c>
      <c r="G6" s="4" t="s">
        <v>82</v>
      </c>
      <c r="H6" s="4" t="s">
        <v>49</v>
      </c>
      <c r="I6" s="5">
        <v>42961.0</v>
      </c>
      <c r="J6" s="4" t="s">
        <v>66</v>
      </c>
    </row>
    <row r="7">
      <c r="A7" s="4">
        <v>6.0</v>
      </c>
      <c r="B7" s="4" t="s">
        <v>85</v>
      </c>
      <c r="C7" s="4" t="s">
        <v>86</v>
      </c>
      <c r="D7" s="4" t="s">
        <v>55</v>
      </c>
      <c r="E7" s="5">
        <v>35559.0</v>
      </c>
      <c r="F7" s="4" t="s">
        <v>37</v>
      </c>
      <c r="G7" s="4" t="s">
        <v>39</v>
      </c>
      <c r="H7" s="4" t="s">
        <v>49</v>
      </c>
      <c r="I7" s="5">
        <v>44255.0</v>
      </c>
      <c r="J7" s="4" t="s">
        <v>51</v>
      </c>
    </row>
    <row r="8">
      <c r="A8" s="4">
        <v>7.0</v>
      </c>
      <c r="B8" s="4" t="s">
        <v>89</v>
      </c>
      <c r="C8" s="4" t="s">
        <v>90</v>
      </c>
      <c r="D8" s="4" t="s">
        <v>38</v>
      </c>
      <c r="E8" s="5">
        <v>33827.0</v>
      </c>
      <c r="F8" s="4" t="s">
        <v>92</v>
      </c>
      <c r="G8" s="4" t="s">
        <v>94</v>
      </c>
      <c r="H8" s="4" t="s">
        <v>49</v>
      </c>
      <c r="I8" s="5">
        <v>42692.0</v>
      </c>
      <c r="J8" s="4" t="s">
        <v>98</v>
      </c>
    </row>
    <row r="9">
      <c r="A9" s="4">
        <v>8.0</v>
      </c>
      <c r="B9" s="4" t="s">
        <v>100</v>
      </c>
      <c r="C9" s="4" t="s">
        <v>101</v>
      </c>
      <c r="D9" s="4" t="s">
        <v>55</v>
      </c>
      <c r="E9" s="5">
        <v>35429.0</v>
      </c>
      <c r="F9" s="4" t="s">
        <v>103</v>
      </c>
      <c r="G9" s="4" t="s">
        <v>105</v>
      </c>
      <c r="H9" s="4" t="s">
        <v>49</v>
      </c>
      <c r="I9" s="5">
        <v>43930.0</v>
      </c>
      <c r="J9" s="4" t="s">
        <v>51</v>
      </c>
    </row>
    <row r="10">
      <c r="A10" s="4">
        <v>9.0</v>
      </c>
      <c r="B10" s="4" t="s">
        <v>108</v>
      </c>
      <c r="C10" s="4" t="s">
        <v>109</v>
      </c>
      <c r="D10" s="4" t="s">
        <v>38</v>
      </c>
      <c r="E10" s="5">
        <v>32802.0</v>
      </c>
      <c r="F10" s="4" t="s">
        <v>110</v>
      </c>
      <c r="G10" s="4" t="s">
        <v>111</v>
      </c>
      <c r="H10" s="4" t="s">
        <v>49</v>
      </c>
      <c r="I10" s="5">
        <v>42277.0</v>
      </c>
      <c r="J10" s="4" t="s">
        <v>98</v>
      </c>
    </row>
    <row r="11">
      <c r="A11" s="4">
        <v>10.0</v>
      </c>
      <c r="B11" s="4" t="s">
        <v>116</v>
      </c>
      <c r="C11" s="4" t="s">
        <v>117</v>
      </c>
      <c r="D11" s="4" t="s">
        <v>55</v>
      </c>
      <c r="E11" s="5">
        <v>36175.0</v>
      </c>
      <c r="F11" s="4" t="s">
        <v>119</v>
      </c>
      <c r="G11" s="4" t="s">
        <v>73</v>
      </c>
      <c r="H11" s="4" t="s">
        <v>49</v>
      </c>
      <c r="I11" s="5">
        <v>44946.0</v>
      </c>
      <c r="J11" s="4" t="s">
        <v>51</v>
      </c>
    </row>
    <row r="12">
      <c r="A12" s="4">
        <v>11.0</v>
      </c>
      <c r="B12" s="4" t="s">
        <v>123</v>
      </c>
      <c r="C12" s="4" t="s">
        <v>125</v>
      </c>
      <c r="D12" s="4" t="s">
        <v>38</v>
      </c>
      <c r="E12" s="5">
        <v>34411.0</v>
      </c>
      <c r="F12" s="4" t="s">
        <v>126</v>
      </c>
      <c r="G12" s="4" t="s">
        <v>127</v>
      </c>
      <c r="H12" s="4" t="s">
        <v>49</v>
      </c>
      <c r="I12" s="5">
        <v>44326.0</v>
      </c>
      <c r="J12" s="4" t="s">
        <v>51</v>
      </c>
    </row>
    <row r="13">
      <c r="A13" s="4">
        <v>12.0</v>
      </c>
      <c r="B13" s="4" t="s">
        <v>130</v>
      </c>
      <c r="C13" s="4" t="s">
        <v>132</v>
      </c>
      <c r="D13" s="4" t="s">
        <v>55</v>
      </c>
      <c r="E13" s="5">
        <v>35687.0</v>
      </c>
      <c r="F13" s="4" t="s">
        <v>135</v>
      </c>
      <c r="G13" s="4" t="s">
        <v>136</v>
      </c>
      <c r="H13" s="4" t="s">
        <v>49</v>
      </c>
      <c r="I13" s="5">
        <v>44791.0</v>
      </c>
      <c r="J13" s="4" t="s">
        <v>51</v>
      </c>
    </row>
    <row r="14">
      <c r="A14" s="4">
        <v>13.0</v>
      </c>
      <c r="B14" s="4" t="s">
        <v>138</v>
      </c>
      <c r="C14" s="4" t="s">
        <v>139</v>
      </c>
      <c r="D14" s="4" t="s">
        <v>38</v>
      </c>
      <c r="E14" s="5">
        <v>33549.0</v>
      </c>
      <c r="F14" s="4" t="s">
        <v>37</v>
      </c>
      <c r="G14" s="4" t="s">
        <v>39</v>
      </c>
      <c r="H14" s="4" t="s">
        <v>49</v>
      </c>
      <c r="I14" s="5">
        <v>43192.0</v>
      </c>
      <c r="J14" s="4" t="s">
        <v>66</v>
      </c>
    </row>
    <row r="15">
      <c r="A15" s="4">
        <v>14.0</v>
      </c>
      <c r="B15" s="4" t="s">
        <v>142</v>
      </c>
      <c r="C15" s="4" t="s">
        <v>143</v>
      </c>
      <c r="D15" s="4" t="s">
        <v>55</v>
      </c>
      <c r="E15" s="5">
        <v>36185.0</v>
      </c>
      <c r="F15" s="4" t="s">
        <v>144</v>
      </c>
      <c r="G15" s="4" t="s">
        <v>145</v>
      </c>
      <c r="H15" s="4" t="s">
        <v>49</v>
      </c>
      <c r="I15" s="5">
        <v>44972.0</v>
      </c>
      <c r="J15" s="4" t="s">
        <v>51</v>
      </c>
    </row>
    <row r="16">
      <c r="A16" s="4">
        <v>15.0</v>
      </c>
      <c r="B16" s="4" t="s">
        <v>147</v>
      </c>
      <c r="C16" s="4" t="s">
        <v>148</v>
      </c>
      <c r="D16" s="4" t="s">
        <v>38</v>
      </c>
      <c r="E16" s="5">
        <v>33063.0</v>
      </c>
      <c r="F16" s="4" t="s">
        <v>150</v>
      </c>
      <c r="G16" s="4" t="s">
        <v>151</v>
      </c>
      <c r="H16" s="4" t="s">
        <v>49</v>
      </c>
      <c r="I16" s="5">
        <v>43050.0</v>
      </c>
      <c r="J16" s="4" t="s">
        <v>66</v>
      </c>
    </row>
    <row r="17">
      <c r="A17" s="4">
        <v>16.0</v>
      </c>
      <c r="B17" s="4" t="s">
        <v>152</v>
      </c>
      <c r="C17" s="4" t="s">
        <v>154</v>
      </c>
      <c r="D17" s="4" t="s">
        <v>55</v>
      </c>
      <c r="E17" s="5">
        <v>35063.0</v>
      </c>
      <c r="F17" s="4" t="s">
        <v>156</v>
      </c>
      <c r="G17" s="4" t="s">
        <v>157</v>
      </c>
      <c r="H17" s="4" t="s">
        <v>49</v>
      </c>
      <c r="I17" s="5">
        <v>44003.0</v>
      </c>
      <c r="J17" s="4" t="s">
        <v>51</v>
      </c>
    </row>
    <row r="18">
      <c r="A18" s="4">
        <v>17.0</v>
      </c>
      <c r="B18" s="4" t="s">
        <v>159</v>
      </c>
      <c r="C18" s="4" t="s">
        <v>160</v>
      </c>
      <c r="D18" s="4" t="s">
        <v>38</v>
      </c>
      <c r="E18" s="5">
        <v>32428.0</v>
      </c>
      <c r="F18" s="4" t="s">
        <v>92</v>
      </c>
      <c r="G18" s="4" t="s">
        <v>96</v>
      </c>
      <c r="H18" s="4" t="s">
        <v>49</v>
      </c>
      <c r="I18" s="5">
        <v>42386.0</v>
      </c>
      <c r="J18" s="4" t="s">
        <v>98</v>
      </c>
    </row>
    <row r="19">
      <c r="A19" s="4">
        <v>18.0</v>
      </c>
      <c r="B19" s="4" t="s">
        <v>162</v>
      </c>
      <c r="C19" s="4" t="s">
        <v>163</v>
      </c>
      <c r="D19" s="4" t="s">
        <v>55</v>
      </c>
      <c r="E19" s="5">
        <v>35891.0</v>
      </c>
      <c r="F19" s="4" t="s">
        <v>37</v>
      </c>
      <c r="G19" s="4" t="s">
        <v>39</v>
      </c>
      <c r="H19" s="4" t="s">
        <v>49</v>
      </c>
      <c r="I19" s="5">
        <v>44652.0</v>
      </c>
      <c r="J19" s="4" t="s">
        <v>51</v>
      </c>
    </row>
    <row r="20">
      <c r="A20" s="4">
        <v>19.0</v>
      </c>
      <c r="B20" s="4" t="s">
        <v>165</v>
      </c>
      <c r="C20" s="4" t="s">
        <v>166</v>
      </c>
      <c r="D20" s="4" t="s">
        <v>38</v>
      </c>
      <c r="E20" s="5">
        <v>33770.0</v>
      </c>
      <c r="F20" s="4" t="s">
        <v>167</v>
      </c>
      <c r="G20" s="4" t="s">
        <v>168</v>
      </c>
      <c r="H20" s="4" t="s">
        <v>49</v>
      </c>
      <c r="I20" s="5">
        <v>43743.0</v>
      </c>
      <c r="J20" s="4" t="s">
        <v>66</v>
      </c>
    </row>
    <row r="21">
      <c r="A21" s="4">
        <v>20.0</v>
      </c>
      <c r="B21" s="4" t="s">
        <v>169</v>
      </c>
      <c r="C21" s="4" t="s">
        <v>170</v>
      </c>
      <c r="D21" s="4" t="s">
        <v>55</v>
      </c>
      <c r="E21" s="5">
        <v>35305.0</v>
      </c>
      <c r="F21" s="4" t="s">
        <v>59</v>
      </c>
      <c r="G21" s="4" t="s">
        <v>59</v>
      </c>
      <c r="H21" s="4" t="s">
        <v>49</v>
      </c>
      <c r="I21" s="5">
        <v>44469.0</v>
      </c>
      <c r="J21" s="4" t="s">
        <v>51</v>
      </c>
    </row>
    <row r="22">
      <c r="A22" s="4">
        <v>21.0</v>
      </c>
      <c r="B22" s="4" t="s">
        <v>172</v>
      </c>
      <c r="C22" s="4" t="s">
        <v>173</v>
      </c>
      <c r="D22" s="4" t="s">
        <v>38</v>
      </c>
      <c r="E22" s="5">
        <v>34020.0</v>
      </c>
      <c r="F22" s="4" t="s">
        <v>119</v>
      </c>
      <c r="G22" s="4" t="s">
        <v>73</v>
      </c>
      <c r="H22" s="4" t="s">
        <v>49</v>
      </c>
      <c r="I22" s="5">
        <v>43453.0</v>
      </c>
      <c r="J22" s="4" t="s">
        <v>66</v>
      </c>
    </row>
    <row r="23">
      <c r="A23" s="4">
        <v>22.0</v>
      </c>
      <c r="B23" s="4" t="s">
        <v>176</v>
      </c>
      <c r="C23" s="4" t="s">
        <v>177</v>
      </c>
      <c r="D23" s="4" t="s">
        <v>55</v>
      </c>
      <c r="E23" s="5">
        <v>35622.0</v>
      </c>
      <c r="F23" s="4" t="s">
        <v>178</v>
      </c>
      <c r="G23" s="4" t="s">
        <v>151</v>
      </c>
      <c r="H23" s="4" t="s">
        <v>49</v>
      </c>
      <c r="I23" s="5">
        <v>44144.0</v>
      </c>
      <c r="J23" s="4" t="s">
        <v>51</v>
      </c>
    </row>
    <row r="24">
      <c r="A24" s="4">
        <v>23.0</v>
      </c>
      <c r="B24" s="4" t="s">
        <v>180</v>
      </c>
      <c r="C24" s="4" t="s">
        <v>181</v>
      </c>
      <c r="D24" s="4" t="s">
        <v>38</v>
      </c>
      <c r="E24" s="5">
        <v>32631.0</v>
      </c>
      <c r="F24" s="4" t="s">
        <v>183</v>
      </c>
      <c r="G24" s="4" t="s">
        <v>184</v>
      </c>
      <c r="H24" s="4" t="s">
        <v>49</v>
      </c>
      <c r="I24" s="5">
        <v>42198.0</v>
      </c>
      <c r="J24" s="4" t="s">
        <v>98</v>
      </c>
    </row>
    <row r="25">
      <c r="A25" s="4">
        <v>24.0</v>
      </c>
      <c r="B25" s="4" t="s">
        <v>185</v>
      </c>
      <c r="C25" s="4" t="s">
        <v>187</v>
      </c>
      <c r="D25" s="4" t="s">
        <v>55</v>
      </c>
      <c r="E25" s="5">
        <v>36087.0</v>
      </c>
      <c r="F25" s="4" t="s">
        <v>188</v>
      </c>
      <c r="G25" s="4" t="s">
        <v>39</v>
      </c>
      <c r="H25" s="4" t="s">
        <v>49</v>
      </c>
      <c r="I25" s="5">
        <v>45007.0</v>
      </c>
      <c r="J25" s="4" t="s">
        <v>51</v>
      </c>
    </row>
    <row r="26">
      <c r="A26" s="4">
        <v>25.0</v>
      </c>
      <c r="B26" s="4" t="s">
        <v>189</v>
      </c>
      <c r="C26" s="4" t="s">
        <v>190</v>
      </c>
      <c r="D26" s="4" t="s">
        <v>38</v>
      </c>
      <c r="E26" s="5">
        <v>33246.0</v>
      </c>
      <c r="F26" s="4" t="s">
        <v>192</v>
      </c>
      <c r="G26" s="4" t="s">
        <v>193</v>
      </c>
      <c r="H26" s="4" t="s">
        <v>49</v>
      </c>
      <c r="I26" s="5">
        <v>42913.0</v>
      </c>
      <c r="J26" s="4" t="s">
        <v>66</v>
      </c>
    </row>
    <row r="27">
      <c r="A27" s="4">
        <v>26.0</v>
      </c>
      <c r="B27" s="4" t="s">
        <v>194</v>
      </c>
      <c r="C27" s="4" t="s">
        <v>79</v>
      </c>
      <c r="D27" s="4" t="s">
        <v>55</v>
      </c>
      <c r="E27" s="5">
        <v>34789.0</v>
      </c>
      <c r="F27" s="4" t="s">
        <v>195</v>
      </c>
      <c r="G27" s="4" t="s">
        <v>196</v>
      </c>
      <c r="H27" s="4" t="s">
        <v>49</v>
      </c>
      <c r="I27" s="5">
        <v>43691.0</v>
      </c>
      <c r="J27" s="4" t="s">
        <v>51</v>
      </c>
    </row>
    <row r="28">
      <c r="A28" s="4">
        <v>27.0</v>
      </c>
      <c r="B28" s="4" t="s">
        <v>198</v>
      </c>
      <c r="C28" s="4" t="s">
        <v>199</v>
      </c>
      <c r="D28" s="4" t="s">
        <v>38</v>
      </c>
      <c r="E28" s="5">
        <v>33142.0</v>
      </c>
      <c r="F28" s="4" t="s">
        <v>200</v>
      </c>
      <c r="G28" s="4" t="s">
        <v>151</v>
      </c>
      <c r="H28" s="4" t="s">
        <v>49</v>
      </c>
      <c r="I28" s="5">
        <v>42661.0</v>
      </c>
      <c r="J28" s="4" t="s">
        <v>98</v>
      </c>
    </row>
    <row r="29">
      <c r="A29" s="4">
        <v>28.0</v>
      </c>
      <c r="B29" s="4" t="s">
        <v>202</v>
      </c>
      <c r="C29" s="4" t="s">
        <v>203</v>
      </c>
      <c r="D29" s="4" t="s">
        <v>55</v>
      </c>
      <c r="E29" s="5">
        <v>35404.0</v>
      </c>
      <c r="F29" s="4" t="s">
        <v>103</v>
      </c>
      <c r="G29" s="4" t="s">
        <v>105</v>
      </c>
      <c r="H29" s="4" t="s">
        <v>49</v>
      </c>
      <c r="I29" s="5">
        <v>44402.0</v>
      </c>
      <c r="J29" s="4" t="s">
        <v>51</v>
      </c>
    </row>
    <row r="30">
      <c r="A30" s="4">
        <v>29.0</v>
      </c>
      <c r="B30" s="4" t="s">
        <v>204</v>
      </c>
      <c r="C30" s="4" t="s">
        <v>205</v>
      </c>
      <c r="D30" s="4" t="s">
        <v>38</v>
      </c>
      <c r="E30" s="5">
        <v>33716.0</v>
      </c>
      <c r="F30" s="4" t="s">
        <v>206</v>
      </c>
      <c r="G30" s="4" t="s">
        <v>207</v>
      </c>
      <c r="H30" s="4" t="s">
        <v>49</v>
      </c>
      <c r="I30" s="5">
        <v>43143.0</v>
      </c>
      <c r="J30" s="4" t="s">
        <v>66</v>
      </c>
    </row>
    <row r="31">
      <c r="A31" s="4">
        <v>30.0</v>
      </c>
      <c r="B31" s="4" t="s">
        <v>209</v>
      </c>
      <c r="C31" s="4" t="s">
        <v>210</v>
      </c>
      <c r="D31" s="4" t="s">
        <v>55</v>
      </c>
      <c r="E31" s="5">
        <v>36324.0</v>
      </c>
      <c r="F31" s="4" t="s">
        <v>211</v>
      </c>
      <c r="G31" s="4" t="s">
        <v>168</v>
      </c>
      <c r="H31" s="4" t="s">
        <v>49</v>
      </c>
      <c r="I31" s="5">
        <v>44934.0</v>
      </c>
      <c r="J31" s="4" t="s">
        <v>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2" t="s">
        <v>7</v>
      </c>
      <c r="G1" s="1" t="s">
        <v>11</v>
      </c>
    </row>
    <row r="2">
      <c r="A2" s="4">
        <v>1.0</v>
      </c>
      <c r="B2" s="4">
        <v>1.0</v>
      </c>
      <c r="C2" s="4" t="s">
        <v>19</v>
      </c>
      <c r="D2" s="4" t="s">
        <v>21</v>
      </c>
      <c r="E2" s="5">
        <v>43539.0</v>
      </c>
      <c r="F2" s="4">
        <v>125000.5</v>
      </c>
      <c r="G2" s="4" t="s">
        <v>25</v>
      </c>
    </row>
    <row r="3">
      <c r="A3" s="4">
        <v>2.0</v>
      </c>
      <c r="B3" s="4">
        <v>2.0</v>
      </c>
      <c r="C3" s="4" t="s">
        <v>27</v>
      </c>
      <c r="D3" s="4" t="s">
        <v>21</v>
      </c>
      <c r="E3" s="5">
        <v>44022.0</v>
      </c>
      <c r="F3" s="4">
        <v>84500.0</v>
      </c>
      <c r="G3" s="4" t="s">
        <v>25</v>
      </c>
    </row>
    <row r="4">
      <c r="A4" s="4">
        <v>3.0</v>
      </c>
      <c r="B4" s="4">
        <v>3.0</v>
      </c>
      <c r="C4" s="4" t="s">
        <v>31</v>
      </c>
      <c r="D4" s="4" t="s">
        <v>32</v>
      </c>
      <c r="E4" s="5">
        <v>43122.0</v>
      </c>
      <c r="F4" s="4">
        <v>156200.75</v>
      </c>
      <c r="G4" s="4" t="s">
        <v>25</v>
      </c>
    </row>
    <row r="5">
      <c r="A5" s="4">
        <v>4.0</v>
      </c>
      <c r="B5" s="4">
        <v>4.0</v>
      </c>
      <c r="C5" s="4" t="s">
        <v>42</v>
      </c>
      <c r="D5" s="4" t="s">
        <v>21</v>
      </c>
      <c r="E5" s="5">
        <v>44717.0</v>
      </c>
      <c r="F5" s="4">
        <v>35600.25</v>
      </c>
      <c r="G5" s="4" t="s">
        <v>25</v>
      </c>
    </row>
    <row r="6">
      <c r="A6" s="4">
        <v>5.0</v>
      </c>
      <c r="B6" s="4">
        <v>5.0</v>
      </c>
      <c r="C6" s="4" t="s">
        <v>46</v>
      </c>
      <c r="D6" s="4" t="s">
        <v>47</v>
      </c>
      <c r="E6" s="5">
        <v>42961.0</v>
      </c>
      <c r="F6" s="4">
        <v>520000.0</v>
      </c>
      <c r="G6" s="4" t="s">
        <v>25</v>
      </c>
    </row>
    <row r="7">
      <c r="A7" s="4">
        <v>6.0</v>
      </c>
      <c r="B7" s="4">
        <v>6.0</v>
      </c>
      <c r="C7" s="4" t="s">
        <v>52</v>
      </c>
      <c r="D7" s="4" t="s">
        <v>21</v>
      </c>
      <c r="E7" s="5">
        <v>44255.0</v>
      </c>
      <c r="F7" s="4">
        <v>45250.5</v>
      </c>
      <c r="G7" s="4" t="s">
        <v>25</v>
      </c>
    </row>
    <row r="8">
      <c r="A8" s="4">
        <v>7.0</v>
      </c>
      <c r="B8" s="4">
        <v>7.0</v>
      </c>
      <c r="C8" s="4" t="s">
        <v>56</v>
      </c>
      <c r="D8" s="4" t="s">
        <v>32</v>
      </c>
      <c r="E8" s="5">
        <v>42692.0</v>
      </c>
      <c r="F8" s="4">
        <v>985000.0</v>
      </c>
      <c r="G8" s="4" t="s">
        <v>25</v>
      </c>
    </row>
    <row r="9">
      <c r="A9" s="4">
        <v>8.0</v>
      </c>
      <c r="B9" s="4">
        <v>8.0</v>
      </c>
      <c r="C9" s="4" t="s">
        <v>61</v>
      </c>
      <c r="D9" s="4" t="s">
        <v>21</v>
      </c>
      <c r="E9" s="5">
        <v>43930.0</v>
      </c>
      <c r="F9" s="4">
        <v>78500.0</v>
      </c>
      <c r="G9" s="4" t="s">
        <v>25</v>
      </c>
    </row>
    <row r="10">
      <c r="A10" s="4">
        <v>9.0</v>
      </c>
      <c r="B10" s="4">
        <v>9.0</v>
      </c>
      <c r="C10" s="4" t="s">
        <v>65</v>
      </c>
      <c r="D10" s="4" t="s">
        <v>47</v>
      </c>
      <c r="E10" s="5">
        <v>42277.0</v>
      </c>
      <c r="F10" s="4">
        <v>1245000.0</v>
      </c>
      <c r="G10" s="4" t="s">
        <v>25</v>
      </c>
    </row>
    <row r="11">
      <c r="A11" s="4">
        <v>10.0</v>
      </c>
      <c r="B11" s="4">
        <v>10.0</v>
      </c>
      <c r="C11" s="4" t="s">
        <v>71</v>
      </c>
      <c r="D11" s="4" t="s">
        <v>21</v>
      </c>
      <c r="E11" s="5">
        <v>44946.0</v>
      </c>
      <c r="F11" s="4">
        <v>18250.0</v>
      </c>
      <c r="G11" s="4" t="s">
        <v>25</v>
      </c>
    </row>
    <row r="12">
      <c r="A12" s="4">
        <v>11.0</v>
      </c>
      <c r="B12" s="4">
        <v>11.0</v>
      </c>
      <c r="C12" s="4" t="s">
        <v>75</v>
      </c>
      <c r="D12" s="4" t="s">
        <v>21</v>
      </c>
      <c r="E12" s="5">
        <v>44326.0</v>
      </c>
      <c r="F12" s="4">
        <v>62500.0</v>
      </c>
      <c r="G12" s="4" t="s">
        <v>25</v>
      </c>
    </row>
    <row r="13">
      <c r="A13" s="4">
        <v>12.0</v>
      </c>
      <c r="B13" s="4">
        <v>12.0</v>
      </c>
      <c r="C13" s="4" t="s">
        <v>81</v>
      </c>
      <c r="D13" s="4" t="s">
        <v>21</v>
      </c>
      <c r="E13" s="5">
        <v>44791.0</v>
      </c>
      <c r="F13" s="4">
        <v>48900.0</v>
      </c>
      <c r="G13" s="4" t="s">
        <v>25</v>
      </c>
    </row>
    <row r="14">
      <c r="A14" s="4">
        <v>13.0</v>
      </c>
      <c r="B14" s="4">
        <v>13.0</v>
      </c>
      <c r="C14" s="4" t="s">
        <v>84</v>
      </c>
      <c r="D14" s="4" t="s">
        <v>32</v>
      </c>
      <c r="E14" s="5">
        <v>43192.0</v>
      </c>
      <c r="F14" s="4">
        <v>215400.25</v>
      </c>
      <c r="G14" s="4" t="s">
        <v>25</v>
      </c>
    </row>
    <row r="15">
      <c r="A15" s="4">
        <v>14.0</v>
      </c>
      <c r="B15" s="4">
        <v>14.0</v>
      </c>
      <c r="C15" s="4" t="s">
        <v>88</v>
      </c>
      <c r="D15" s="4" t="s">
        <v>21</v>
      </c>
      <c r="E15" s="5">
        <v>44972.0</v>
      </c>
      <c r="F15" s="4">
        <v>16800.5</v>
      </c>
      <c r="G15" s="4" t="s">
        <v>25</v>
      </c>
    </row>
    <row r="16">
      <c r="A16" s="4">
        <v>15.0</v>
      </c>
      <c r="B16" s="4">
        <v>15.0</v>
      </c>
      <c r="C16" s="4" t="s">
        <v>91</v>
      </c>
      <c r="D16" s="4" t="s">
        <v>47</v>
      </c>
      <c r="E16" s="5">
        <v>43050.0</v>
      </c>
      <c r="F16" s="4">
        <v>350000.0</v>
      </c>
      <c r="G16" s="4" t="s">
        <v>25</v>
      </c>
    </row>
    <row r="17">
      <c r="A17" s="4">
        <v>16.0</v>
      </c>
      <c r="B17" s="4">
        <v>16.0</v>
      </c>
      <c r="C17" s="4" t="s">
        <v>97</v>
      </c>
      <c r="D17" s="4" t="s">
        <v>21</v>
      </c>
      <c r="E17" s="5">
        <v>44003.0</v>
      </c>
      <c r="F17" s="4">
        <v>72500.0</v>
      </c>
      <c r="G17" s="4" t="s">
        <v>25</v>
      </c>
    </row>
    <row r="18">
      <c r="A18" s="4">
        <v>17.0</v>
      </c>
      <c r="B18" s="4">
        <v>17.0</v>
      </c>
      <c r="C18" s="4" t="s">
        <v>102</v>
      </c>
      <c r="D18" s="4" t="s">
        <v>32</v>
      </c>
      <c r="E18" s="5">
        <v>42386.0</v>
      </c>
      <c r="F18" s="4">
        <v>950000.75</v>
      </c>
      <c r="G18" s="4" t="s">
        <v>25</v>
      </c>
    </row>
    <row r="19">
      <c r="A19" s="4">
        <v>18.0</v>
      </c>
      <c r="B19" s="4">
        <v>18.0</v>
      </c>
      <c r="C19" s="4" t="s">
        <v>107</v>
      </c>
      <c r="D19" s="4" t="s">
        <v>21</v>
      </c>
      <c r="E19" s="5">
        <v>44652.0</v>
      </c>
      <c r="F19" s="4">
        <v>54200.0</v>
      </c>
      <c r="G19" s="4" t="s">
        <v>25</v>
      </c>
    </row>
    <row r="20">
      <c r="A20" s="4">
        <v>19.0</v>
      </c>
      <c r="B20" s="4">
        <v>19.0</v>
      </c>
      <c r="C20" s="4" t="s">
        <v>112</v>
      </c>
      <c r="D20" s="4" t="s">
        <v>47</v>
      </c>
      <c r="E20" s="5">
        <v>43743.0</v>
      </c>
      <c r="F20" s="4">
        <v>415000.0</v>
      </c>
      <c r="G20" s="4" t="s">
        <v>115</v>
      </c>
    </row>
    <row r="21">
      <c r="A21" s="4">
        <v>20.0</v>
      </c>
      <c r="B21" s="4">
        <v>20.0</v>
      </c>
      <c r="C21" s="4" t="s">
        <v>118</v>
      </c>
      <c r="D21" s="4" t="s">
        <v>21</v>
      </c>
      <c r="E21" s="5">
        <v>44469.0</v>
      </c>
      <c r="F21" s="4">
        <v>27500.0</v>
      </c>
      <c r="G21" s="4" t="s">
        <v>25</v>
      </c>
    </row>
    <row r="22">
      <c r="A22" s="4">
        <v>21.0</v>
      </c>
      <c r="B22" s="4">
        <v>21.0</v>
      </c>
      <c r="C22" s="4" t="s">
        <v>120</v>
      </c>
      <c r="D22" s="4" t="s">
        <v>32</v>
      </c>
      <c r="E22" s="5">
        <v>43453.0</v>
      </c>
      <c r="F22" s="4">
        <v>189000.0</v>
      </c>
      <c r="G22" s="4" t="s">
        <v>25</v>
      </c>
    </row>
    <row r="23">
      <c r="A23" s="4">
        <v>22.0</v>
      </c>
      <c r="B23" s="4">
        <v>22.0</v>
      </c>
      <c r="C23" s="4" t="s">
        <v>124</v>
      </c>
      <c r="D23" s="4" t="s">
        <v>21</v>
      </c>
      <c r="E23" s="5">
        <v>44144.0</v>
      </c>
      <c r="F23" s="4">
        <v>68000.5</v>
      </c>
      <c r="G23" s="4" t="s">
        <v>25</v>
      </c>
    </row>
    <row r="24">
      <c r="A24" s="4">
        <v>23.0</v>
      </c>
      <c r="B24" s="4">
        <v>23.0</v>
      </c>
      <c r="C24" s="4" t="s">
        <v>128</v>
      </c>
      <c r="D24" s="4" t="s">
        <v>47</v>
      </c>
      <c r="E24" s="5">
        <v>42198.0</v>
      </c>
      <c r="F24" s="4">
        <v>875000.0</v>
      </c>
      <c r="G24" s="4" t="s">
        <v>129</v>
      </c>
    </row>
    <row r="25">
      <c r="A25" s="4">
        <v>24.0</v>
      </c>
      <c r="B25" s="4">
        <v>24.0</v>
      </c>
      <c r="C25" s="4" t="s">
        <v>134</v>
      </c>
      <c r="D25" s="4" t="s">
        <v>21</v>
      </c>
      <c r="E25" s="5">
        <v>45007.0</v>
      </c>
      <c r="F25" s="4">
        <v>19450.0</v>
      </c>
      <c r="G25" s="4" t="s">
        <v>25</v>
      </c>
    </row>
    <row r="26">
      <c r="A26" s="4">
        <v>25.0</v>
      </c>
      <c r="B26" s="4">
        <v>25.0</v>
      </c>
      <c r="C26" s="4" t="s">
        <v>137</v>
      </c>
      <c r="D26" s="4" t="s">
        <v>32</v>
      </c>
      <c r="E26" s="5">
        <v>42913.0</v>
      </c>
      <c r="F26" s="4">
        <v>243600.75</v>
      </c>
      <c r="G26" s="4" t="s">
        <v>25</v>
      </c>
    </row>
    <row r="27">
      <c r="A27" s="4">
        <v>26.0</v>
      </c>
      <c r="B27" s="4">
        <v>26.0</v>
      </c>
      <c r="C27" s="4" t="s">
        <v>141</v>
      </c>
      <c r="D27" s="4" t="s">
        <v>21</v>
      </c>
      <c r="E27" s="5">
        <v>43691.0</v>
      </c>
      <c r="F27" s="4">
        <v>58600.0</v>
      </c>
      <c r="G27" s="4" t="s">
        <v>25</v>
      </c>
    </row>
    <row r="28">
      <c r="A28" s="4">
        <v>27.0</v>
      </c>
      <c r="B28" s="4">
        <v>27.0</v>
      </c>
      <c r="C28" s="4" t="s">
        <v>146</v>
      </c>
      <c r="D28" s="4" t="s">
        <v>47</v>
      </c>
      <c r="E28" s="5">
        <v>42661.0</v>
      </c>
      <c r="F28" s="4">
        <v>620000.0</v>
      </c>
      <c r="G28" s="4" t="s">
        <v>25</v>
      </c>
    </row>
    <row r="29">
      <c r="A29" s="4">
        <v>28.0</v>
      </c>
      <c r="B29" s="4">
        <v>28.0</v>
      </c>
      <c r="C29" s="4" t="s">
        <v>149</v>
      </c>
      <c r="D29" s="4" t="s">
        <v>21</v>
      </c>
      <c r="E29" s="5">
        <v>44402.0</v>
      </c>
      <c r="F29" s="4">
        <v>33500.5</v>
      </c>
      <c r="G29" s="4" t="s">
        <v>25</v>
      </c>
    </row>
    <row r="30">
      <c r="A30" s="4">
        <v>29.0</v>
      </c>
      <c r="B30" s="4">
        <v>29.0</v>
      </c>
      <c r="C30" s="4" t="s">
        <v>153</v>
      </c>
      <c r="D30" s="4" t="s">
        <v>32</v>
      </c>
      <c r="E30" s="5">
        <v>43143.0</v>
      </c>
      <c r="F30" s="4">
        <v>276500.0</v>
      </c>
      <c r="G30" s="4" t="s">
        <v>25</v>
      </c>
    </row>
    <row r="31">
      <c r="A31" s="4">
        <v>30.0</v>
      </c>
      <c r="B31" s="4">
        <v>30.0</v>
      </c>
      <c r="C31" s="4" t="s">
        <v>158</v>
      </c>
      <c r="D31" s="4" t="s">
        <v>21</v>
      </c>
      <c r="E31" s="5">
        <v>44934.0</v>
      </c>
      <c r="F31" s="4">
        <v>22100.0</v>
      </c>
      <c r="G31" s="4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13.88"/>
    <col customWidth="1" min="6" max="6" width="13.5"/>
    <col customWidth="1" min="7" max="7" width="15.88"/>
  </cols>
  <sheetData>
    <row r="1">
      <c r="A1" s="1" t="s">
        <v>2</v>
      </c>
      <c r="B1" s="1" t="s">
        <v>0</v>
      </c>
      <c r="C1" s="1" t="s">
        <v>8</v>
      </c>
      <c r="D1" s="1" t="s">
        <v>10</v>
      </c>
      <c r="E1" s="1" t="s">
        <v>13</v>
      </c>
      <c r="F1" s="1" t="s">
        <v>15</v>
      </c>
      <c r="G1" s="1" t="s">
        <v>18</v>
      </c>
      <c r="H1" s="1" t="s">
        <v>22</v>
      </c>
      <c r="I1" s="1" t="s">
        <v>23</v>
      </c>
      <c r="J1" s="1" t="s">
        <v>24</v>
      </c>
      <c r="K1" s="1" t="s">
        <v>11</v>
      </c>
    </row>
    <row r="2">
      <c r="A2" s="4">
        <v>1.0</v>
      </c>
      <c r="B2" s="4">
        <v>1.0</v>
      </c>
      <c r="C2" s="6">
        <v>46235.385659722226</v>
      </c>
      <c r="D2" s="4" t="s">
        <v>30</v>
      </c>
      <c r="E2" s="4">
        <v>1250.5</v>
      </c>
      <c r="F2" s="4" t="s">
        <v>33</v>
      </c>
      <c r="G2" s="4" t="s">
        <v>35</v>
      </c>
      <c r="H2" s="4" t="s">
        <v>37</v>
      </c>
      <c r="I2" s="4" t="s">
        <v>39</v>
      </c>
      <c r="J2" s="4" t="s">
        <v>41</v>
      </c>
      <c r="K2" s="4" t="s">
        <v>43</v>
      </c>
    </row>
    <row r="3">
      <c r="A3" s="4">
        <v>2.0</v>
      </c>
      <c r="B3" s="4">
        <v>2.0</v>
      </c>
      <c r="C3" s="6">
        <v>46235.420266203706</v>
      </c>
      <c r="D3" s="4" t="s">
        <v>30</v>
      </c>
      <c r="E3" s="4">
        <v>450.0</v>
      </c>
      <c r="F3" s="4" t="s">
        <v>48</v>
      </c>
      <c r="G3" s="4" t="s">
        <v>50</v>
      </c>
      <c r="H3" s="4" t="s">
        <v>37</v>
      </c>
      <c r="I3" s="4" t="s">
        <v>39</v>
      </c>
      <c r="J3" s="4" t="s">
        <v>41</v>
      </c>
      <c r="K3" s="4" t="s">
        <v>43</v>
      </c>
    </row>
    <row r="4">
      <c r="A4" s="4">
        <v>3.0</v>
      </c>
      <c r="B4" s="4">
        <v>3.0</v>
      </c>
      <c r="C4" s="6">
        <v>46235.47274305556</v>
      </c>
      <c r="D4" s="4" t="s">
        <v>57</v>
      </c>
      <c r="E4" s="4">
        <v>65000.0</v>
      </c>
      <c r="F4" s="4" t="s">
        <v>58</v>
      </c>
      <c r="G4" s="4" t="s">
        <v>32</v>
      </c>
      <c r="H4" s="4" t="s">
        <v>59</v>
      </c>
      <c r="I4" s="4" t="s">
        <v>59</v>
      </c>
      <c r="J4" s="4" t="s">
        <v>63</v>
      </c>
      <c r="K4" s="4" t="s">
        <v>43</v>
      </c>
    </row>
    <row r="5">
      <c r="A5" s="4">
        <v>4.0</v>
      </c>
      <c r="B5" s="4">
        <v>4.0</v>
      </c>
      <c r="C5" s="6">
        <v>46235.51289351852</v>
      </c>
      <c r="D5" s="4" t="s">
        <v>30</v>
      </c>
      <c r="E5" s="4">
        <v>3200.0</v>
      </c>
      <c r="F5" s="4" t="s">
        <v>67</v>
      </c>
      <c r="G5" s="4" t="s">
        <v>68</v>
      </c>
      <c r="H5" s="4" t="s">
        <v>70</v>
      </c>
      <c r="I5" s="4" t="s">
        <v>73</v>
      </c>
      <c r="J5" s="4" t="s">
        <v>74</v>
      </c>
      <c r="K5" s="4" t="s">
        <v>43</v>
      </c>
    </row>
    <row r="6">
      <c r="A6" s="4">
        <v>5.0</v>
      </c>
      <c r="B6" s="4">
        <v>5.0</v>
      </c>
      <c r="C6" s="6">
        <v>46235.56966435185</v>
      </c>
      <c r="D6" s="4" t="s">
        <v>30</v>
      </c>
      <c r="E6" s="4">
        <v>2100.0</v>
      </c>
      <c r="F6" s="4" t="s">
        <v>76</v>
      </c>
      <c r="G6" s="4" t="s">
        <v>78</v>
      </c>
      <c r="H6" s="4" t="s">
        <v>80</v>
      </c>
      <c r="I6" s="4" t="s">
        <v>82</v>
      </c>
      <c r="J6" s="4" t="s">
        <v>83</v>
      </c>
      <c r="K6" s="4" t="s">
        <v>43</v>
      </c>
    </row>
    <row r="7">
      <c r="A7" s="4">
        <v>6.0</v>
      </c>
      <c r="B7" s="4">
        <v>6.0</v>
      </c>
      <c r="C7" s="6">
        <v>46235.599282407406</v>
      </c>
      <c r="D7" s="4" t="s">
        <v>30</v>
      </c>
      <c r="E7" s="4">
        <v>800.0</v>
      </c>
      <c r="F7" s="4" t="s">
        <v>87</v>
      </c>
      <c r="G7" s="4" t="s">
        <v>50</v>
      </c>
      <c r="H7" s="4" t="s">
        <v>37</v>
      </c>
      <c r="I7" s="4" t="s">
        <v>39</v>
      </c>
      <c r="J7" s="4" t="s">
        <v>41</v>
      </c>
      <c r="K7" s="4" t="s">
        <v>43</v>
      </c>
    </row>
    <row r="8">
      <c r="A8" s="4">
        <v>7.0</v>
      </c>
      <c r="B8" s="4">
        <v>7.0</v>
      </c>
      <c r="C8" s="6">
        <v>46235.63075231481</v>
      </c>
      <c r="D8" s="4" t="s">
        <v>57</v>
      </c>
      <c r="E8" s="4">
        <v>150000.0</v>
      </c>
      <c r="F8" s="4" t="s">
        <v>93</v>
      </c>
      <c r="G8" s="4" t="s">
        <v>95</v>
      </c>
      <c r="H8" s="4" t="s">
        <v>92</v>
      </c>
      <c r="I8" s="4" t="s">
        <v>96</v>
      </c>
      <c r="J8" s="4" t="s">
        <v>99</v>
      </c>
      <c r="K8" s="4" t="s">
        <v>43</v>
      </c>
    </row>
    <row r="9">
      <c r="A9" s="4">
        <v>8.0</v>
      </c>
      <c r="B9" s="4">
        <v>8.0</v>
      </c>
      <c r="C9" s="6">
        <v>46235.6746412037</v>
      </c>
      <c r="D9" s="4" t="s">
        <v>30</v>
      </c>
      <c r="E9" s="4">
        <v>560.0</v>
      </c>
      <c r="F9" s="4" t="s">
        <v>104</v>
      </c>
      <c r="G9" s="4" t="s">
        <v>106</v>
      </c>
      <c r="H9" s="4" t="s">
        <v>103</v>
      </c>
      <c r="I9" s="4" t="s">
        <v>105</v>
      </c>
      <c r="J9" s="4" t="s">
        <v>74</v>
      </c>
      <c r="K9" s="4" t="s">
        <v>43</v>
      </c>
    </row>
    <row r="10">
      <c r="A10" s="4">
        <v>9.0</v>
      </c>
      <c r="B10" s="4">
        <v>9.0</v>
      </c>
      <c r="C10" s="6">
        <v>46235.74655092593</v>
      </c>
      <c r="D10" s="4" t="s">
        <v>30</v>
      </c>
      <c r="E10" s="4">
        <v>12000.0</v>
      </c>
      <c r="F10" s="4" t="s">
        <v>113</v>
      </c>
      <c r="G10" s="4" t="s">
        <v>114</v>
      </c>
      <c r="H10" s="4" t="s">
        <v>110</v>
      </c>
      <c r="I10" s="4" t="s">
        <v>111</v>
      </c>
      <c r="J10" s="4" t="s">
        <v>83</v>
      </c>
      <c r="K10" s="4" t="s">
        <v>43</v>
      </c>
    </row>
    <row r="11">
      <c r="A11" s="4">
        <v>10.0</v>
      </c>
      <c r="B11" s="4">
        <v>10.0</v>
      </c>
      <c r="C11" s="6">
        <v>46235.76648148148</v>
      </c>
      <c r="D11" s="4" t="s">
        <v>30</v>
      </c>
      <c r="E11" s="4">
        <v>1500.0</v>
      </c>
      <c r="F11" s="4" t="s">
        <v>121</v>
      </c>
      <c r="G11" s="4" t="s">
        <v>122</v>
      </c>
      <c r="H11" s="4" t="s">
        <v>119</v>
      </c>
      <c r="I11" s="4" t="s">
        <v>73</v>
      </c>
      <c r="J11" s="4" t="s">
        <v>41</v>
      </c>
      <c r="K11" s="4" t="s">
        <v>43</v>
      </c>
    </row>
    <row r="12">
      <c r="A12" s="4">
        <v>11.0</v>
      </c>
      <c r="B12" s="4">
        <v>11.0</v>
      </c>
      <c r="C12" s="6">
        <v>46236.38208333333</v>
      </c>
      <c r="D12" s="4" t="s">
        <v>30</v>
      </c>
      <c r="E12" s="4">
        <v>999.0</v>
      </c>
      <c r="F12" s="4" t="s">
        <v>131</v>
      </c>
      <c r="G12" s="4" t="s">
        <v>133</v>
      </c>
      <c r="H12" s="4" t="s">
        <v>126</v>
      </c>
      <c r="I12" s="4" t="s">
        <v>127</v>
      </c>
      <c r="J12" s="4" t="s">
        <v>83</v>
      </c>
      <c r="K12" s="4" t="s">
        <v>43</v>
      </c>
    </row>
    <row r="13">
      <c r="A13" s="4">
        <v>12.0</v>
      </c>
      <c r="B13" s="4">
        <v>12.0</v>
      </c>
      <c r="C13" s="6">
        <v>46236.40655092592</v>
      </c>
      <c r="D13" s="4" t="s">
        <v>30</v>
      </c>
      <c r="E13" s="4">
        <v>1800.0</v>
      </c>
      <c r="F13" s="4" t="s">
        <v>140</v>
      </c>
      <c r="G13" s="4" t="s">
        <v>35</v>
      </c>
      <c r="H13" s="4" t="s">
        <v>135</v>
      </c>
      <c r="I13" s="4" t="s">
        <v>136</v>
      </c>
      <c r="J13" s="4" t="s">
        <v>41</v>
      </c>
      <c r="K13" s="4" t="s">
        <v>43</v>
      </c>
    </row>
    <row r="14">
      <c r="A14" s="4">
        <v>13.0</v>
      </c>
      <c r="B14" s="4">
        <v>13.0</v>
      </c>
      <c r="C14" s="6">
        <v>46236.4380787037</v>
      </c>
      <c r="D14" s="4" t="s">
        <v>57</v>
      </c>
      <c r="E14" s="4">
        <v>72000.0</v>
      </c>
      <c r="F14" s="4" t="s">
        <v>58</v>
      </c>
      <c r="G14" s="4" t="s">
        <v>32</v>
      </c>
      <c r="H14" s="4" t="s">
        <v>37</v>
      </c>
      <c r="I14" s="4" t="s">
        <v>39</v>
      </c>
      <c r="J14" s="4" t="s">
        <v>63</v>
      </c>
      <c r="K14" s="4" t="s">
        <v>43</v>
      </c>
    </row>
    <row r="15">
      <c r="A15" s="4">
        <v>14.0</v>
      </c>
      <c r="B15" s="4">
        <v>14.0</v>
      </c>
      <c r="C15" s="6">
        <v>46236.47091435185</v>
      </c>
      <c r="D15" s="4" t="s">
        <v>30</v>
      </c>
      <c r="E15" s="4">
        <v>2400.0</v>
      </c>
      <c r="F15" s="4" t="s">
        <v>155</v>
      </c>
      <c r="G15" s="4" t="s">
        <v>106</v>
      </c>
      <c r="H15" s="4" t="s">
        <v>144</v>
      </c>
      <c r="I15" s="4" t="s">
        <v>145</v>
      </c>
      <c r="J15" s="4" t="s">
        <v>74</v>
      </c>
      <c r="K15" s="4" t="s">
        <v>43</v>
      </c>
    </row>
    <row r="16">
      <c r="A16" s="4">
        <v>15.0</v>
      </c>
      <c r="B16" s="4">
        <v>15.0</v>
      </c>
      <c r="C16" s="6">
        <v>46236.536469907405</v>
      </c>
      <c r="D16" s="4" t="s">
        <v>30</v>
      </c>
      <c r="E16" s="4">
        <v>6700.0</v>
      </c>
      <c r="F16" s="4" t="s">
        <v>161</v>
      </c>
      <c r="G16" s="4" t="s">
        <v>114</v>
      </c>
      <c r="H16" s="4" t="s">
        <v>150</v>
      </c>
      <c r="I16" s="4" t="s">
        <v>151</v>
      </c>
      <c r="J16" s="4" t="s">
        <v>83</v>
      </c>
      <c r="K16" s="4" t="s">
        <v>43</v>
      </c>
    </row>
    <row r="17">
      <c r="A17" s="4">
        <v>16.0</v>
      </c>
      <c r="B17" s="4">
        <v>16.0</v>
      </c>
      <c r="C17" s="6">
        <v>46236.57517361111</v>
      </c>
      <c r="D17" s="4" t="s">
        <v>30</v>
      </c>
      <c r="E17" s="4">
        <v>399.0</v>
      </c>
      <c r="F17" s="4" t="s">
        <v>164</v>
      </c>
      <c r="G17" s="4" t="s">
        <v>133</v>
      </c>
      <c r="H17" s="4" t="s">
        <v>156</v>
      </c>
      <c r="I17" s="4" t="s">
        <v>157</v>
      </c>
      <c r="J17" s="4" t="s">
        <v>41</v>
      </c>
      <c r="K17" s="4" t="s">
        <v>43</v>
      </c>
    </row>
    <row r="18">
      <c r="A18" s="4">
        <v>17.0</v>
      </c>
      <c r="B18" s="4">
        <v>17.0</v>
      </c>
      <c r="C18" s="6">
        <v>46236.6087962963</v>
      </c>
      <c r="D18" s="4" t="s">
        <v>30</v>
      </c>
      <c r="E18" s="4">
        <v>9800.0</v>
      </c>
      <c r="F18" s="4" t="s">
        <v>171</v>
      </c>
      <c r="G18" s="4" t="s">
        <v>68</v>
      </c>
      <c r="H18" s="4" t="s">
        <v>92</v>
      </c>
      <c r="I18" s="4" t="s">
        <v>96</v>
      </c>
      <c r="J18" s="4" t="s">
        <v>74</v>
      </c>
      <c r="K18" s="4" t="s">
        <v>43</v>
      </c>
    </row>
    <row r="19">
      <c r="A19" s="4">
        <v>18.0</v>
      </c>
      <c r="B19" s="4">
        <v>18.0</v>
      </c>
      <c r="C19" s="6">
        <v>46236.63979166667</v>
      </c>
      <c r="D19" s="4" t="s">
        <v>30</v>
      </c>
      <c r="E19" s="4">
        <v>250.0</v>
      </c>
      <c r="F19" s="4" t="s">
        <v>174</v>
      </c>
      <c r="G19" s="4" t="s">
        <v>175</v>
      </c>
      <c r="H19" s="4" t="s">
        <v>37</v>
      </c>
      <c r="I19" s="4" t="s">
        <v>39</v>
      </c>
      <c r="J19" s="4" t="s">
        <v>41</v>
      </c>
      <c r="K19" s="4" t="s">
        <v>43</v>
      </c>
    </row>
    <row r="20">
      <c r="A20" s="4">
        <v>19.0</v>
      </c>
      <c r="B20" s="4">
        <v>19.0</v>
      </c>
      <c r="C20" s="6">
        <v>46236.677037037036</v>
      </c>
      <c r="D20" s="4" t="s">
        <v>57</v>
      </c>
      <c r="E20" s="4">
        <v>92000.0</v>
      </c>
      <c r="F20" s="4" t="s">
        <v>179</v>
      </c>
      <c r="G20" s="4" t="s">
        <v>95</v>
      </c>
      <c r="H20" s="4" t="s">
        <v>167</v>
      </c>
      <c r="I20" s="4" t="s">
        <v>168</v>
      </c>
      <c r="J20" s="4" t="s">
        <v>182</v>
      </c>
      <c r="K20" s="4" t="s">
        <v>43</v>
      </c>
    </row>
    <row r="21">
      <c r="A21" s="4">
        <v>20.0</v>
      </c>
      <c r="B21" s="4">
        <v>20.0</v>
      </c>
      <c r="C21" s="6">
        <v>46236.742685185185</v>
      </c>
      <c r="D21" s="4" t="s">
        <v>30</v>
      </c>
      <c r="E21" s="4">
        <v>3100.0</v>
      </c>
      <c r="F21" s="4" t="s">
        <v>186</v>
      </c>
      <c r="G21" s="4" t="s">
        <v>35</v>
      </c>
      <c r="H21" s="4" t="s">
        <v>59</v>
      </c>
      <c r="I21" s="4" t="s">
        <v>59</v>
      </c>
      <c r="J21" s="4" t="s">
        <v>83</v>
      </c>
      <c r="K21" s="4" t="s">
        <v>43</v>
      </c>
    </row>
    <row r="22">
      <c r="A22" s="4">
        <v>21.0</v>
      </c>
      <c r="B22" s="4">
        <v>21.0</v>
      </c>
      <c r="C22" s="6">
        <v>46237.38773148148</v>
      </c>
      <c r="D22" s="4" t="s">
        <v>30</v>
      </c>
      <c r="E22" s="4">
        <v>650.0</v>
      </c>
      <c r="F22" s="4" t="s">
        <v>191</v>
      </c>
      <c r="G22" s="4" t="s">
        <v>50</v>
      </c>
      <c r="H22" s="4" t="s">
        <v>119</v>
      </c>
      <c r="I22" s="4" t="s">
        <v>73</v>
      </c>
      <c r="J22" s="4" t="s">
        <v>41</v>
      </c>
      <c r="K22" s="4" t="s">
        <v>43</v>
      </c>
    </row>
    <row r="23">
      <c r="A23" s="4">
        <v>22.0</v>
      </c>
      <c r="B23" s="4">
        <v>22.0</v>
      </c>
      <c r="C23" s="6">
        <v>46237.446284722224</v>
      </c>
      <c r="D23" s="4" t="s">
        <v>30</v>
      </c>
      <c r="E23" s="4">
        <v>1450.0</v>
      </c>
      <c r="F23" s="4" t="s">
        <v>197</v>
      </c>
      <c r="G23" s="4" t="s">
        <v>133</v>
      </c>
      <c r="H23" s="4" t="s">
        <v>178</v>
      </c>
      <c r="I23" s="4" t="s">
        <v>151</v>
      </c>
      <c r="J23" s="4" t="s">
        <v>41</v>
      </c>
      <c r="K23" s="4" t="s">
        <v>43</v>
      </c>
    </row>
    <row r="24">
      <c r="A24" s="4">
        <v>23.0</v>
      </c>
      <c r="B24" s="4">
        <v>23.0</v>
      </c>
      <c r="C24" s="6">
        <v>46237.49736111111</v>
      </c>
      <c r="D24" s="4" t="s">
        <v>30</v>
      </c>
      <c r="E24" s="4">
        <v>18500.0</v>
      </c>
      <c r="F24" s="4" t="s">
        <v>201</v>
      </c>
      <c r="G24" s="4" t="s">
        <v>68</v>
      </c>
      <c r="H24" s="4" t="s">
        <v>183</v>
      </c>
      <c r="I24" s="4" t="s">
        <v>184</v>
      </c>
      <c r="J24" s="4" t="s">
        <v>83</v>
      </c>
      <c r="K24" s="4" t="s">
        <v>43</v>
      </c>
    </row>
    <row r="25">
      <c r="A25" s="4">
        <v>24.0</v>
      </c>
      <c r="B25" s="4">
        <v>24.0</v>
      </c>
      <c r="C25" s="6">
        <v>46237.55912037037</v>
      </c>
      <c r="D25" s="4" t="s">
        <v>30</v>
      </c>
      <c r="E25" s="4">
        <v>420.0</v>
      </c>
      <c r="F25" s="4" t="s">
        <v>208</v>
      </c>
      <c r="G25" s="4" t="s">
        <v>175</v>
      </c>
      <c r="H25" s="4" t="s">
        <v>188</v>
      </c>
      <c r="I25" s="4" t="s">
        <v>39</v>
      </c>
      <c r="J25" s="4" t="s">
        <v>41</v>
      </c>
      <c r="K25" s="4" t="s">
        <v>43</v>
      </c>
    </row>
    <row r="26">
      <c r="A26" s="4">
        <v>25.0</v>
      </c>
      <c r="B26" s="4">
        <v>25.0</v>
      </c>
      <c r="C26" s="6">
        <v>46237.594872685186</v>
      </c>
      <c r="D26" s="4" t="s">
        <v>57</v>
      </c>
      <c r="E26" s="4">
        <v>85000.0</v>
      </c>
      <c r="F26" s="4" t="s">
        <v>58</v>
      </c>
      <c r="G26" s="4" t="s">
        <v>32</v>
      </c>
      <c r="H26" s="4" t="s">
        <v>192</v>
      </c>
      <c r="I26" s="4" t="s">
        <v>193</v>
      </c>
      <c r="J26" s="4" t="s">
        <v>99</v>
      </c>
      <c r="K26" s="4" t="s">
        <v>43</v>
      </c>
    </row>
    <row r="27">
      <c r="A27" s="4">
        <v>26.0</v>
      </c>
      <c r="B27" s="4">
        <v>26.0</v>
      </c>
      <c r="C27" s="6">
        <v>46237.656168981484</v>
      </c>
      <c r="D27" s="4" t="s">
        <v>30</v>
      </c>
      <c r="E27" s="4">
        <v>980.0</v>
      </c>
      <c r="F27" s="4" t="s">
        <v>212</v>
      </c>
      <c r="G27" s="4" t="s">
        <v>50</v>
      </c>
      <c r="H27" s="4" t="s">
        <v>195</v>
      </c>
      <c r="I27" s="4" t="s">
        <v>196</v>
      </c>
      <c r="J27" s="4" t="s">
        <v>41</v>
      </c>
      <c r="K27" s="4" t="s">
        <v>43</v>
      </c>
    </row>
    <row r="28">
      <c r="A28" s="4">
        <v>27.0</v>
      </c>
      <c r="B28" s="4">
        <v>27.0</v>
      </c>
      <c r="C28" s="6">
        <v>46237.68871527778</v>
      </c>
      <c r="D28" s="4" t="s">
        <v>30</v>
      </c>
      <c r="E28" s="4">
        <v>7200.0</v>
      </c>
      <c r="F28" s="4" t="s">
        <v>213</v>
      </c>
      <c r="G28" s="4" t="s">
        <v>214</v>
      </c>
      <c r="H28" s="4" t="s">
        <v>200</v>
      </c>
      <c r="I28" s="4" t="s">
        <v>151</v>
      </c>
      <c r="J28" s="4" t="s">
        <v>74</v>
      </c>
      <c r="K28" s="4" t="s">
        <v>43</v>
      </c>
    </row>
    <row r="29">
      <c r="A29" s="4">
        <v>28.0</v>
      </c>
      <c r="B29" s="4">
        <v>28.0</v>
      </c>
      <c r="C29" s="6">
        <v>46237.74894675926</v>
      </c>
      <c r="D29" s="4" t="s">
        <v>30</v>
      </c>
      <c r="E29" s="4">
        <v>3500.0</v>
      </c>
      <c r="F29" s="4" t="s">
        <v>215</v>
      </c>
      <c r="G29" s="4" t="s">
        <v>35</v>
      </c>
      <c r="H29" s="4" t="s">
        <v>103</v>
      </c>
      <c r="I29" s="4" t="s">
        <v>105</v>
      </c>
      <c r="J29" s="4" t="s">
        <v>83</v>
      </c>
      <c r="K29" s="4" t="s">
        <v>43</v>
      </c>
    </row>
    <row r="30">
      <c r="A30" s="4">
        <v>29.0</v>
      </c>
      <c r="B30" s="4">
        <v>29.0</v>
      </c>
      <c r="C30" s="6">
        <v>46237.781435185185</v>
      </c>
      <c r="D30" s="4" t="s">
        <v>30</v>
      </c>
      <c r="E30" s="4">
        <v>760.0</v>
      </c>
      <c r="F30" s="4" t="s">
        <v>208</v>
      </c>
      <c r="G30" s="4" t="s">
        <v>175</v>
      </c>
      <c r="H30" s="4" t="s">
        <v>206</v>
      </c>
      <c r="I30" s="4" t="s">
        <v>207</v>
      </c>
      <c r="J30" s="4" t="s">
        <v>41</v>
      </c>
      <c r="K30" s="4" t="s">
        <v>43</v>
      </c>
    </row>
    <row r="31">
      <c r="A31" s="4">
        <v>30.0</v>
      </c>
      <c r="B31" s="4">
        <v>30.0</v>
      </c>
      <c r="C31" s="6">
        <v>46237.80003472222</v>
      </c>
      <c r="D31" s="4" t="s">
        <v>30</v>
      </c>
      <c r="E31" s="4">
        <v>2800.0</v>
      </c>
      <c r="F31" s="4" t="s">
        <v>216</v>
      </c>
      <c r="G31" s="4" t="s">
        <v>106</v>
      </c>
      <c r="H31" s="4" t="s">
        <v>211</v>
      </c>
      <c r="I31" s="4" t="s">
        <v>168</v>
      </c>
      <c r="J31" s="4" t="s">
        <v>74</v>
      </c>
      <c r="K31" s="4" t="s">
        <v>43</v>
      </c>
    </row>
    <row r="32">
      <c r="A32" s="4">
        <v>31.0</v>
      </c>
      <c r="B32" s="4">
        <v>5.0</v>
      </c>
      <c r="C32" s="6">
        <v>46238.3821875</v>
      </c>
      <c r="D32" s="4" t="s">
        <v>30</v>
      </c>
      <c r="E32" s="4">
        <v>250000.0</v>
      </c>
      <c r="F32" s="4" t="s">
        <v>217</v>
      </c>
      <c r="G32" s="4" t="s">
        <v>35</v>
      </c>
      <c r="H32" s="4" t="s">
        <v>70</v>
      </c>
      <c r="I32" s="4" t="s">
        <v>73</v>
      </c>
      <c r="J32" s="4" t="s">
        <v>41</v>
      </c>
      <c r="K32" s="4" t="s">
        <v>43</v>
      </c>
    </row>
    <row r="33">
      <c r="A33" s="4">
        <v>32.0</v>
      </c>
      <c r="B33" s="4">
        <v>5.0</v>
      </c>
      <c r="C33" s="6">
        <v>46238.383425925924</v>
      </c>
      <c r="D33" s="4" t="s">
        <v>30</v>
      </c>
      <c r="E33" s="4">
        <v>245000.0</v>
      </c>
      <c r="F33" s="4" t="s">
        <v>217</v>
      </c>
      <c r="G33" s="4" t="s">
        <v>35</v>
      </c>
      <c r="H33" s="4" t="s">
        <v>59</v>
      </c>
      <c r="I33" s="4" t="s">
        <v>59</v>
      </c>
      <c r="J33" s="4" t="s">
        <v>41</v>
      </c>
      <c r="K33" s="4" t="s">
        <v>43</v>
      </c>
    </row>
    <row r="34">
      <c r="A34" s="4">
        <v>33.0</v>
      </c>
      <c r="B34" s="4">
        <v>7.0</v>
      </c>
      <c r="C34" s="6">
        <v>46238.42721064815</v>
      </c>
      <c r="D34" s="4" t="s">
        <v>30</v>
      </c>
      <c r="E34" s="4">
        <v>180000.0</v>
      </c>
      <c r="F34" s="4" t="s">
        <v>218</v>
      </c>
      <c r="G34" s="4" t="s">
        <v>219</v>
      </c>
      <c r="H34" s="4" t="s">
        <v>220</v>
      </c>
      <c r="I34" s="4" t="s">
        <v>220</v>
      </c>
      <c r="J34" s="4" t="s">
        <v>83</v>
      </c>
      <c r="K34" s="4" t="s">
        <v>43</v>
      </c>
    </row>
    <row r="35">
      <c r="A35" s="4">
        <v>34.0</v>
      </c>
      <c r="B35" s="4">
        <v>12.0</v>
      </c>
      <c r="C35" s="6">
        <v>46238.47268518519</v>
      </c>
      <c r="D35" s="4" t="s">
        <v>30</v>
      </c>
      <c r="E35" s="4">
        <v>98000.0</v>
      </c>
      <c r="F35" s="4" t="s">
        <v>221</v>
      </c>
      <c r="G35" s="4" t="s">
        <v>68</v>
      </c>
      <c r="H35" s="4" t="s">
        <v>37</v>
      </c>
      <c r="I35" s="4" t="s">
        <v>39</v>
      </c>
      <c r="J35" s="4" t="s">
        <v>74</v>
      </c>
      <c r="K35" s="4" t="s">
        <v>222</v>
      </c>
    </row>
    <row r="36">
      <c r="A36" s="4">
        <v>35.0</v>
      </c>
      <c r="B36" s="4">
        <v>12.0</v>
      </c>
      <c r="C36" s="6">
        <v>46238.47305555556</v>
      </c>
      <c r="D36" s="4" t="s">
        <v>30</v>
      </c>
      <c r="E36" s="4">
        <v>98000.0</v>
      </c>
      <c r="F36" s="4" t="s">
        <v>221</v>
      </c>
      <c r="G36" s="4" t="s">
        <v>68</v>
      </c>
      <c r="H36" s="4" t="s">
        <v>37</v>
      </c>
      <c r="I36" s="4" t="s">
        <v>39</v>
      </c>
      <c r="J36" s="4" t="s">
        <v>74</v>
      </c>
      <c r="K36" s="4" t="s">
        <v>43</v>
      </c>
    </row>
    <row r="37">
      <c r="A37" s="4">
        <v>36.0</v>
      </c>
      <c r="B37" s="4">
        <v>18.0</v>
      </c>
      <c r="C37" s="6">
        <v>46238.50202546296</v>
      </c>
      <c r="D37" s="4" t="s">
        <v>30</v>
      </c>
      <c r="E37" s="4">
        <v>150000.0</v>
      </c>
      <c r="F37" s="4" t="s">
        <v>223</v>
      </c>
      <c r="G37" s="4" t="s">
        <v>224</v>
      </c>
      <c r="H37" s="4" t="s">
        <v>225</v>
      </c>
      <c r="I37" s="4" t="s">
        <v>225</v>
      </c>
      <c r="J37" s="4" t="s">
        <v>63</v>
      </c>
      <c r="K37" s="4" t="s">
        <v>43</v>
      </c>
    </row>
    <row r="38">
      <c r="A38" s="4">
        <v>37.0</v>
      </c>
      <c r="B38" s="4">
        <v>22.0</v>
      </c>
      <c r="C38" s="6">
        <v>46238.50591435185</v>
      </c>
      <c r="D38" s="4" t="s">
        <v>30</v>
      </c>
      <c r="E38" s="4">
        <v>149500.0</v>
      </c>
      <c r="F38" s="4" t="s">
        <v>223</v>
      </c>
      <c r="G38" s="4" t="s">
        <v>224</v>
      </c>
      <c r="H38" s="4" t="s">
        <v>225</v>
      </c>
      <c r="I38" s="4" t="s">
        <v>225</v>
      </c>
      <c r="J38" s="4" t="s">
        <v>63</v>
      </c>
      <c r="K38" s="4" t="s">
        <v>43</v>
      </c>
    </row>
    <row r="39">
      <c r="A39" s="4">
        <v>38.0</v>
      </c>
      <c r="B39" s="4">
        <v>9.0</v>
      </c>
      <c r="C39" s="6">
        <v>46238.55196759259</v>
      </c>
      <c r="D39" s="4" t="s">
        <v>30</v>
      </c>
      <c r="E39" s="4">
        <v>210000.0</v>
      </c>
      <c r="F39" s="4" t="s">
        <v>226</v>
      </c>
      <c r="G39" s="4" t="s">
        <v>214</v>
      </c>
      <c r="H39" s="4" t="s">
        <v>59</v>
      </c>
      <c r="I39" s="4" t="s">
        <v>59</v>
      </c>
      <c r="J39" s="4" t="s">
        <v>83</v>
      </c>
      <c r="K39" s="4" t="s">
        <v>43</v>
      </c>
    </row>
    <row r="40">
      <c r="A40" s="4">
        <v>39.0</v>
      </c>
      <c r="B40" s="4">
        <v>9.0</v>
      </c>
      <c r="C40" s="6">
        <v>46238.55357638889</v>
      </c>
      <c r="D40" s="4" t="s">
        <v>30</v>
      </c>
      <c r="E40" s="4">
        <v>205000.0</v>
      </c>
      <c r="F40" s="4" t="s">
        <v>226</v>
      </c>
      <c r="G40" s="4" t="s">
        <v>214</v>
      </c>
      <c r="H40" s="4" t="s">
        <v>103</v>
      </c>
      <c r="I40" s="4" t="s">
        <v>105</v>
      </c>
      <c r="J40" s="4" t="s">
        <v>83</v>
      </c>
      <c r="K40" s="4" t="s">
        <v>43</v>
      </c>
    </row>
    <row r="41">
      <c r="A41" s="4">
        <v>40.0</v>
      </c>
      <c r="B41" s="4">
        <v>30.0</v>
      </c>
      <c r="C41" s="6">
        <v>46238.58726851852</v>
      </c>
      <c r="D41" s="4" t="s">
        <v>30</v>
      </c>
      <c r="E41" s="4">
        <v>320000.0</v>
      </c>
      <c r="F41" s="4" t="s">
        <v>217</v>
      </c>
      <c r="G41" s="4" t="s">
        <v>35</v>
      </c>
      <c r="H41" s="4" t="s">
        <v>227</v>
      </c>
      <c r="I41" s="4" t="s">
        <v>228</v>
      </c>
      <c r="J41" s="4" t="s">
        <v>83</v>
      </c>
      <c r="K41" s="4" t="s">
        <v>43</v>
      </c>
    </row>
    <row r="42">
      <c r="A42" s="4">
        <v>41.0</v>
      </c>
      <c r="B42" s="4">
        <v>30.0</v>
      </c>
      <c r="C42" s="6">
        <v>46238.58833333333</v>
      </c>
      <c r="D42" s="4" t="s">
        <v>30</v>
      </c>
      <c r="E42" s="4">
        <v>318000.0</v>
      </c>
      <c r="F42" s="4" t="s">
        <v>217</v>
      </c>
      <c r="G42" s="4" t="s">
        <v>35</v>
      </c>
      <c r="H42" s="4" t="s">
        <v>227</v>
      </c>
      <c r="I42" s="4" t="s">
        <v>228</v>
      </c>
      <c r="J42" s="4" t="s">
        <v>83</v>
      </c>
      <c r="K42" s="4" t="s">
        <v>43</v>
      </c>
    </row>
    <row r="43">
      <c r="A43" s="4">
        <v>42.0</v>
      </c>
      <c r="B43" s="4">
        <v>25.0</v>
      </c>
      <c r="C43" s="6">
        <v>46238.63798611111</v>
      </c>
      <c r="D43" s="4" t="s">
        <v>30</v>
      </c>
      <c r="E43" s="4">
        <v>199999.0</v>
      </c>
      <c r="F43" s="4" t="s">
        <v>229</v>
      </c>
      <c r="G43" s="4" t="s">
        <v>230</v>
      </c>
      <c r="H43" s="4" t="s">
        <v>70</v>
      </c>
      <c r="I43" s="4" t="s">
        <v>73</v>
      </c>
      <c r="J43" s="4" t="s">
        <v>41</v>
      </c>
      <c r="K43" s="4" t="s">
        <v>43</v>
      </c>
    </row>
    <row r="44">
      <c r="A44" s="4">
        <v>43.0</v>
      </c>
      <c r="B44" s="4">
        <v>25.0</v>
      </c>
      <c r="C44" s="6">
        <v>46238.63891203704</v>
      </c>
      <c r="D44" s="4" t="s">
        <v>30</v>
      </c>
      <c r="E44" s="4">
        <v>199500.0</v>
      </c>
      <c r="F44" s="4" t="s">
        <v>229</v>
      </c>
      <c r="G44" s="4" t="s">
        <v>230</v>
      </c>
      <c r="H44" s="4" t="s">
        <v>59</v>
      </c>
      <c r="I44" s="4" t="s">
        <v>59</v>
      </c>
      <c r="J44" s="4" t="s">
        <v>41</v>
      </c>
      <c r="K44" s="4" t="s">
        <v>43</v>
      </c>
    </row>
    <row r="45">
      <c r="A45" s="4">
        <v>44.0</v>
      </c>
      <c r="B45" s="4">
        <v>3.0</v>
      </c>
      <c r="C45" s="6">
        <v>46238.69804398148</v>
      </c>
      <c r="D45" s="4" t="s">
        <v>30</v>
      </c>
      <c r="E45" s="4">
        <v>175000.0</v>
      </c>
      <c r="F45" s="4" t="s">
        <v>231</v>
      </c>
      <c r="G45" s="4" t="s">
        <v>68</v>
      </c>
      <c r="H45" s="4" t="s">
        <v>92</v>
      </c>
      <c r="I45" s="4" t="s">
        <v>96</v>
      </c>
      <c r="J45" s="4" t="s">
        <v>74</v>
      </c>
      <c r="K45" s="4" t="s">
        <v>43</v>
      </c>
    </row>
    <row r="46">
      <c r="A46" s="4">
        <v>45.0</v>
      </c>
      <c r="B46" s="4">
        <v>3.0</v>
      </c>
      <c r="C46" s="6">
        <v>46238.69883101852</v>
      </c>
      <c r="D46" s="4" t="s">
        <v>30</v>
      </c>
      <c r="E46" s="4">
        <v>172000.0</v>
      </c>
      <c r="F46" s="4" t="s">
        <v>231</v>
      </c>
      <c r="G46" s="4" t="s">
        <v>68</v>
      </c>
      <c r="H46" s="4" t="s">
        <v>80</v>
      </c>
      <c r="I46" s="4" t="s">
        <v>82</v>
      </c>
      <c r="J46" s="4" t="s">
        <v>74</v>
      </c>
      <c r="K46" s="4" t="s">
        <v>43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15" max="15" width="16.25"/>
  </cols>
  <sheetData>
    <row r="1">
      <c r="A1" s="3" t="s">
        <v>9</v>
      </c>
      <c r="B1" s="3" t="s">
        <v>17</v>
      </c>
      <c r="C1" s="3" t="s">
        <v>4</v>
      </c>
      <c r="D1" s="3" t="s">
        <v>8</v>
      </c>
      <c r="E1" s="3" t="s">
        <v>10</v>
      </c>
      <c r="F1" s="3" t="s">
        <v>13</v>
      </c>
      <c r="G1" s="3" t="s">
        <v>15</v>
      </c>
      <c r="H1" s="3" t="s">
        <v>18</v>
      </c>
      <c r="I1" s="3" t="s">
        <v>22</v>
      </c>
      <c r="J1" s="3" t="s">
        <v>23</v>
      </c>
      <c r="K1" s="3" t="s">
        <v>24</v>
      </c>
      <c r="L1" s="3" t="s">
        <v>11</v>
      </c>
      <c r="M1" s="3" t="s">
        <v>40</v>
      </c>
      <c r="N1" s="3" t="s">
        <v>44</v>
      </c>
      <c r="O1" s="3" t="s">
        <v>45</v>
      </c>
      <c r="Q1" s="7"/>
      <c r="R1" s="7"/>
    </row>
    <row r="2">
      <c r="A2" s="4">
        <v>1.0</v>
      </c>
      <c r="B2" s="4">
        <v>1.0</v>
      </c>
      <c r="C2" s="4">
        <v>1.0</v>
      </c>
      <c r="D2" s="6">
        <v>46235.385659722226</v>
      </c>
      <c r="E2" s="4" t="s">
        <v>30</v>
      </c>
      <c r="F2" s="4">
        <v>1250.5</v>
      </c>
      <c r="G2" s="4" t="s">
        <v>33</v>
      </c>
      <c r="H2" s="4" t="s">
        <v>35</v>
      </c>
      <c r="I2" s="4" t="s">
        <v>37</v>
      </c>
      <c r="J2" s="4" t="s">
        <v>39</v>
      </c>
      <c r="K2" s="4" t="s">
        <v>41</v>
      </c>
      <c r="L2" s="4" t="s">
        <v>43</v>
      </c>
      <c r="M2" s="8" t="str">
        <f t="array" ref="M2">XLOOKUP(C2,Customers!A:A,Customers!J:J)</f>
        <v>Low</v>
      </c>
      <c r="N2" s="8" t="str">
        <f t="shared" ref="N2:N46" si="1">IF(OR(F2&gt;50000,L2="Failed",M2="High"),"Review","Normal")</f>
        <v>Normal</v>
      </c>
      <c r="O2" s="8" t="str">
        <f t="shared" ref="O2:O46" si="2">IF(AND(F2&gt;50000,L2="Failed",M2="High"),"High Value + Failed + High Risk",IF(F2&gt;50000,"High Value Transaction",IF(L2="Failed","Failed Transaction",IF(M2="High","High Risk Customer","Normal"))))</f>
        <v>Normal</v>
      </c>
      <c r="Q2" s="4"/>
    </row>
    <row r="3">
      <c r="A3" s="4">
        <v>2.0</v>
      </c>
      <c r="B3" s="4">
        <v>2.0</v>
      </c>
      <c r="C3" s="4">
        <v>2.0</v>
      </c>
      <c r="D3" s="6">
        <v>46235.420266203706</v>
      </c>
      <c r="E3" s="4" t="s">
        <v>30</v>
      </c>
      <c r="F3" s="4">
        <v>450.0</v>
      </c>
      <c r="G3" s="4" t="s">
        <v>48</v>
      </c>
      <c r="H3" s="4" t="s">
        <v>50</v>
      </c>
      <c r="I3" s="4" t="s">
        <v>37</v>
      </c>
      <c r="J3" s="4" t="s">
        <v>39</v>
      </c>
      <c r="K3" s="4" t="s">
        <v>41</v>
      </c>
      <c r="L3" s="4" t="s">
        <v>43</v>
      </c>
      <c r="M3" s="8" t="str">
        <f t="array" ref="M3">XLOOKUP(C3,Customers!A:A,Customers!J:J)</f>
        <v>Low</v>
      </c>
      <c r="N3" s="8" t="str">
        <f t="shared" si="1"/>
        <v>Normal</v>
      </c>
      <c r="O3" s="8" t="str">
        <f t="shared" si="2"/>
        <v>Normal</v>
      </c>
    </row>
    <row r="4">
      <c r="A4" s="4">
        <v>3.0</v>
      </c>
      <c r="B4" s="4">
        <v>3.0</v>
      </c>
      <c r="C4" s="4">
        <v>3.0</v>
      </c>
      <c r="D4" s="6">
        <v>46235.47274305556</v>
      </c>
      <c r="E4" s="4" t="s">
        <v>57</v>
      </c>
      <c r="F4" s="4">
        <v>65000.0</v>
      </c>
      <c r="G4" s="4" t="s">
        <v>58</v>
      </c>
      <c r="H4" s="4" t="s">
        <v>32</v>
      </c>
      <c r="I4" s="4" t="s">
        <v>59</v>
      </c>
      <c r="J4" s="4" t="s">
        <v>59</v>
      </c>
      <c r="K4" s="4" t="s">
        <v>63</v>
      </c>
      <c r="L4" s="4" t="s">
        <v>43</v>
      </c>
      <c r="M4" s="8" t="str">
        <f t="array" ref="M4">XLOOKUP(C4,Customers!A:A,Customers!J:J)</f>
        <v>Medium</v>
      </c>
      <c r="N4" s="8" t="str">
        <f t="shared" si="1"/>
        <v>Review</v>
      </c>
      <c r="O4" s="8" t="str">
        <f t="shared" si="2"/>
        <v>High Value Transaction</v>
      </c>
    </row>
    <row r="5">
      <c r="A5" s="4">
        <v>4.0</v>
      </c>
      <c r="B5" s="4">
        <v>4.0</v>
      </c>
      <c r="C5" s="4">
        <v>4.0</v>
      </c>
      <c r="D5" s="6">
        <v>46235.51289351852</v>
      </c>
      <c r="E5" s="4" t="s">
        <v>30</v>
      </c>
      <c r="F5" s="4">
        <v>3200.0</v>
      </c>
      <c r="G5" s="4" t="s">
        <v>67</v>
      </c>
      <c r="H5" s="4" t="s">
        <v>68</v>
      </c>
      <c r="I5" s="4" t="s">
        <v>70</v>
      </c>
      <c r="J5" s="4" t="s">
        <v>73</v>
      </c>
      <c r="K5" s="4" t="s">
        <v>74</v>
      </c>
      <c r="L5" s="4" t="s">
        <v>43</v>
      </c>
      <c r="M5" s="8" t="str">
        <f t="array" ref="M5">XLOOKUP(C5,Customers!A:A,Customers!J:J)</f>
        <v>Low</v>
      </c>
      <c r="N5" s="8" t="str">
        <f t="shared" si="1"/>
        <v>Normal</v>
      </c>
      <c r="O5" s="8" t="str">
        <f t="shared" si="2"/>
        <v>Normal</v>
      </c>
    </row>
    <row r="6">
      <c r="A6" s="4">
        <v>5.0</v>
      </c>
      <c r="B6" s="4">
        <v>5.0</v>
      </c>
      <c r="C6" s="4">
        <v>5.0</v>
      </c>
      <c r="D6" s="6">
        <v>46235.56966435185</v>
      </c>
      <c r="E6" s="4" t="s">
        <v>30</v>
      </c>
      <c r="F6" s="4">
        <v>2100.0</v>
      </c>
      <c r="G6" s="4" t="s">
        <v>76</v>
      </c>
      <c r="H6" s="4" t="s">
        <v>78</v>
      </c>
      <c r="I6" s="4" t="s">
        <v>80</v>
      </c>
      <c r="J6" s="4" t="s">
        <v>82</v>
      </c>
      <c r="K6" s="4" t="s">
        <v>83</v>
      </c>
      <c r="L6" s="4" t="s">
        <v>43</v>
      </c>
      <c r="M6" s="8" t="str">
        <f t="array" ref="M6">XLOOKUP(C6,Customers!A:A,Customers!J:J)</f>
        <v>Medium</v>
      </c>
      <c r="N6" s="8" t="str">
        <f t="shared" si="1"/>
        <v>Normal</v>
      </c>
      <c r="O6" s="8" t="str">
        <f t="shared" si="2"/>
        <v>Normal</v>
      </c>
    </row>
    <row r="7">
      <c r="A7" s="4">
        <v>6.0</v>
      </c>
      <c r="B7" s="4">
        <v>6.0</v>
      </c>
      <c r="C7" s="4">
        <v>6.0</v>
      </c>
      <c r="D7" s="6">
        <v>46235.599282407406</v>
      </c>
      <c r="E7" s="4" t="s">
        <v>30</v>
      </c>
      <c r="F7" s="4">
        <v>800.0</v>
      </c>
      <c r="G7" s="4" t="s">
        <v>87</v>
      </c>
      <c r="H7" s="4" t="s">
        <v>50</v>
      </c>
      <c r="I7" s="4" t="s">
        <v>37</v>
      </c>
      <c r="J7" s="4" t="s">
        <v>39</v>
      </c>
      <c r="K7" s="4" t="s">
        <v>41</v>
      </c>
      <c r="L7" s="4" t="s">
        <v>43</v>
      </c>
      <c r="M7" s="8" t="str">
        <f t="array" ref="M7">XLOOKUP(C7,Customers!A:A,Customers!J:J)</f>
        <v>Low</v>
      </c>
      <c r="N7" s="8" t="str">
        <f t="shared" si="1"/>
        <v>Normal</v>
      </c>
      <c r="O7" s="8" t="str">
        <f t="shared" si="2"/>
        <v>Normal</v>
      </c>
    </row>
    <row r="8">
      <c r="A8" s="4">
        <v>7.0</v>
      </c>
      <c r="B8" s="4">
        <v>7.0</v>
      </c>
      <c r="C8" s="4">
        <v>7.0</v>
      </c>
      <c r="D8" s="6">
        <v>46235.63075231481</v>
      </c>
      <c r="E8" s="4" t="s">
        <v>57</v>
      </c>
      <c r="F8" s="4">
        <v>150000.0</v>
      </c>
      <c r="G8" s="4" t="s">
        <v>93</v>
      </c>
      <c r="H8" s="4" t="s">
        <v>95</v>
      </c>
      <c r="I8" s="4" t="s">
        <v>92</v>
      </c>
      <c r="J8" s="4" t="s">
        <v>96</v>
      </c>
      <c r="K8" s="4" t="s">
        <v>99</v>
      </c>
      <c r="L8" s="4" t="s">
        <v>43</v>
      </c>
      <c r="M8" s="8" t="str">
        <f t="array" ref="M8">XLOOKUP(C8,Customers!A:A,Customers!J:J)</f>
        <v>High</v>
      </c>
      <c r="N8" s="8" t="str">
        <f t="shared" si="1"/>
        <v>Review</v>
      </c>
      <c r="O8" s="8" t="str">
        <f t="shared" si="2"/>
        <v>High Value Transaction</v>
      </c>
    </row>
    <row r="9">
      <c r="A9" s="4">
        <v>8.0</v>
      </c>
      <c r="B9" s="4">
        <v>8.0</v>
      </c>
      <c r="C9" s="4">
        <v>8.0</v>
      </c>
      <c r="D9" s="6">
        <v>46235.6746412037</v>
      </c>
      <c r="E9" s="4" t="s">
        <v>30</v>
      </c>
      <c r="F9" s="4">
        <v>560.0</v>
      </c>
      <c r="G9" s="4" t="s">
        <v>104</v>
      </c>
      <c r="H9" s="4" t="s">
        <v>106</v>
      </c>
      <c r="I9" s="4" t="s">
        <v>103</v>
      </c>
      <c r="J9" s="4" t="s">
        <v>105</v>
      </c>
      <c r="K9" s="4" t="s">
        <v>74</v>
      </c>
      <c r="L9" s="4" t="s">
        <v>43</v>
      </c>
      <c r="M9" s="8" t="str">
        <f t="array" ref="M9">XLOOKUP(C9,Customers!A:A,Customers!J:J)</f>
        <v>Low</v>
      </c>
      <c r="N9" s="8" t="str">
        <f t="shared" si="1"/>
        <v>Normal</v>
      </c>
      <c r="O9" s="8" t="str">
        <f t="shared" si="2"/>
        <v>Normal</v>
      </c>
    </row>
    <row r="10">
      <c r="A10" s="4">
        <v>9.0</v>
      </c>
      <c r="B10" s="4">
        <v>9.0</v>
      </c>
      <c r="C10" s="4">
        <v>9.0</v>
      </c>
      <c r="D10" s="6">
        <v>46235.74655092593</v>
      </c>
      <c r="E10" s="4" t="s">
        <v>30</v>
      </c>
      <c r="F10" s="4">
        <v>12000.0</v>
      </c>
      <c r="G10" s="4" t="s">
        <v>113</v>
      </c>
      <c r="H10" s="4" t="s">
        <v>114</v>
      </c>
      <c r="I10" s="4" t="s">
        <v>110</v>
      </c>
      <c r="J10" s="4" t="s">
        <v>111</v>
      </c>
      <c r="K10" s="4" t="s">
        <v>83</v>
      </c>
      <c r="L10" s="4" t="s">
        <v>43</v>
      </c>
      <c r="M10" s="8" t="str">
        <f t="array" ref="M10">XLOOKUP(C10,Customers!A:A,Customers!J:J)</f>
        <v>High</v>
      </c>
      <c r="N10" s="8" t="str">
        <f t="shared" si="1"/>
        <v>Review</v>
      </c>
      <c r="O10" s="8" t="str">
        <f t="shared" si="2"/>
        <v>High Risk Customer</v>
      </c>
    </row>
    <row r="11">
      <c r="A11" s="4">
        <v>10.0</v>
      </c>
      <c r="B11" s="4">
        <v>10.0</v>
      </c>
      <c r="C11" s="4">
        <v>10.0</v>
      </c>
      <c r="D11" s="6">
        <v>46235.76648148148</v>
      </c>
      <c r="E11" s="4" t="s">
        <v>30</v>
      </c>
      <c r="F11" s="4">
        <v>1500.0</v>
      </c>
      <c r="G11" s="4" t="s">
        <v>121</v>
      </c>
      <c r="H11" s="4" t="s">
        <v>122</v>
      </c>
      <c r="I11" s="4" t="s">
        <v>119</v>
      </c>
      <c r="J11" s="4" t="s">
        <v>73</v>
      </c>
      <c r="K11" s="4" t="s">
        <v>41</v>
      </c>
      <c r="L11" s="4" t="s">
        <v>43</v>
      </c>
      <c r="M11" s="8" t="str">
        <f t="array" ref="M11">XLOOKUP(C11,Customers!A:A,Customers!J:J)</f>
        <v>Low</v>
      </c>
      <c r="N11" s="8" t="str">
        <f t="shared" si="1"/>
        <v>Normal</v>
      </c>
      <c r="O11" s="8" t="str">
        <f t="shared" si="2"/>
        <v>Normal</v>
      </c>
    </row>
    <row r="12">
      <c r="A12" s="4">
        <v>11.0</v>
      </c>
      <c r="B12" s="4">
        <v>11.0</v>
      </c>
      <c r="C12" s="4">
        <v>11.0</v>
      </c>
      <c r="D12" s="6">
        <v>46236.38208333333</v>
      </c>
      <c r="E12" s="4" t="s">
        <v>30</v>
      </c>
      <c r="F12" s="4">
        <v>999.0</v>
      </c>
      <c r="G12" s="4" t="s">
        <v>131</v>
      </c>
      <c r="H12" s="4" t="s">
        <v>133</v>
      </c>
      <c r="I12" s="4" t="s">
        <v>126</v>
      </c>
      <c r="J12" s="4" t="s">
        <v>127</v>
      </c>
      <c r="K12" s="4" t="s">
        <v>83</v>
      </c>
      <c r="L12" s="4" t="s">
        <v>43</v>
      </c>
      <c r="M12" s="8" t="str">
        <f t="array" ref="M12">XLOOKUP(C12,Customers!A:A,Customers!J:J)</f>
        <v>Low</v>
      </c>
      <c r="N12" s="8" t="str">
        <f t="shared" si="1"/>
        <v>Normal</v>
      </c>
      <c r="O12" s="8" t="str">
        <f t="shared" si="2"/>
        <v>Normal</v>
      </c>
    </row>
    <row r="13">
      <c r="A13" s="4">
        <v>12.0</v>
      </c>
      <c r="B13" s="4">
        <v>12.0</v>
      </c>
      <c r="C13" s="4">
        <v>12.0</v>
      </c>
      <c r="D13" s="6">
        <v>46236.40655092592</v>
      </c>
      <c r="E13" s="4" t="s">
        <v>30</v>
      </c>
      <c r="F13" s="4">
        <v>1800.0</v>
      </c>
      <c r="G13" s="4" t="s">
        <v>140</v>
      </c>
      <c r="H13" s="4" t="s">
        <v>35</v>
      </c>
      <c r="I13" s="4" t="s">
        <v>135</v>
      </c>
      <c r="J13" s="4" t="s">
        <v>136</v>
      </c>
      <c r="K13" s="4" t="s">
        <v>41</v>
      </c>
      <c r="L13" s="4" t="s">
        <v>43</v>
      </c>
      <c r="M13" s="8" t="str">
        <f t="array" ref="M13">XLOOKUP(C13,Customers!A:A,Customers!J:J)</f>
        <v>Low</v>
      </c>
      <c r="N13" s="8" t="str">
        <f t="shared" si="1"/>
        <v>Normal</v>
      </c>
      <c r="O13" s="8" t="str">
        <f t="shared" si="2"/>
        <v>Normal</v>
      </c>
    </row>
    <row r="14">
      <c r="A14" s="4">
        <v>13.0</v>
      </c>
      <c r="B14" s="4">
        <v>13.0</v>
      </c>
      <c r="C14" s="4">
        <v>13.0</v>
      </c>
      <c r="D14" s="6">
        <v>46236.4380787037</v>
      </c>
      <c r="E14" s="4" t="s">
        <v>57</v>
      </c>
      <c r="F14" s="4">
        <v>72000.0</v>
      </c>
      <c r="G14" s="4" t="s">
        <v>58</v>
      </c>
      <c r="H14" s="4" t="s">
        <v>32</v>
      </c>
      <c r="I14" s="4" t="s">
        <v>37</v>
      </c>
      <c r="J14" s="4" t="s">
        <v>39</v>
      </c>
      <c r="K14" s="4" t="s">
        <v>63</v>
      </c>
      <c r="L14" s="4" t="s">
        <v>43</v>
      </c>
      <c r="M14" s="8" t="str">
        <f t="array" ref="M14">XLOOKUP(C14,Customers!A:A,Customers!J:J)</f>
        <v>Medium</v>
      </c>
      <c r="N14" s="8" t="str">
        <f t="shared" si="1"/>
        <v>Review</v>
      </c>
      <c r="O14" s="8" t="str">
        <f t="shared" si="2"/>
        <v>High Value Transaction</v>
      </c>
    </row>
    <row r="15">
      <c r="A15" s="4">
        <v>14.0</v>
      </c>
      <c r="B15" s="4">
        <v>14.0</v>
      </c>
      <c r="C15" s="4">
        <v>14.0</v>
      </c>
      <c r="D15" s="6">
        <v>46236.47091435185</v>
      </c>
      <c r="E15" s="4" t="s">
        <v>30</v>
      </c>
      <c r="F15" s="4">
        <v>2400.0</v>
      </c>
      <c r="G15" s="4" t="s">
        <v>155</v>
      </c>
      <c r="H15" s="4" t="s">
        <v>106</v>
      </c>
      <c r="I15" s="4" t="s">
        <v>144</v>
      </c>
      <c r="J15" s="4" t="s">
        <v>145</v>
      </c>
      <c r="K15" s="4" t="s">
        <v>74</v>
      </c>
      <c r="L15" s="4" t="s">
        <v>43</v>
      </c>
      <c r="M15" s="8" t="str">
        <f t="array" ref="M15">XLOOKUP(C15,Customers!A:A,Customers!J:J)</f>
        <v>Low</v>
      </c>
      <c r="N15" s="8" t="str">
        <f t="shared" si="1"/>
        <v>Normal</v>
      </c>
      <c r="O15" s="8" t="str">
        <f t="shared" si="2"/>
        <v>Normal</v>
      </c>
    </row>
    <row r="16">
      <c r="A16" s="4">
        <v>15.0</v>
      </c>
      <c r="B16" s="4">
        <v>15.0</v>
      </c>
      <c r="C16" s="4">
        <v>15.0</v>
      </c>
      <c r="D16" s="6">
        <v>46236.536469907405</v>
      </c>
      <c r="E16" s="4" t="s">
        <v>30</v>
      </c>
      <c r="F16" s="4">
        <v>6700.0</v>
      </c>
      <c r="G16" s="4" t="s">
        <v>161</v>
      </c>
      <c r="H16" s="4" t="s">
        <v>114</v>
      </c>
      <c r="I16" s="4" t="s">
        <v>150</v>
      </c>
      <c r="J16" s="4" t="s">
        <v>151</v>
      </c>
      <c r="K16" s="4" t="s">
        <v>83</v>
      </c>
      <c r="L16" s="4" t="s">
        <v>43</v>
      </c>
      <c r="M16" s="8" t="str">
        <f t="array" ref="M16">XLOOKUP(C16,Customers!A:A,Customers!J:J)</f>
        <v>Medium</v>
      </c>
      <c r="N16" s="8" t="str">
        <f t="shared" si="1"/>
        <v>Normal</v>
      </c>
      <c r="O16" s="8" t="str">
        <f t="shared" si="2"/>
        <v>Normal</v>
      </c>
    </row>
    <row r="17">
      <c r="A17" s="4">
        <v>16.0</v>
      </c>
      <c r="B17" s="4">
        <v>16.0</v>
      </c>
      <c r="C17" s="4">
        <v>16.0</v>
      </c>
      <c r="D17" s="6">
        <v>46236.57517361111</v>
      </c>
      <c r="E17" s="4" t="s">
        <v>30</v>
      </c>
      <c r="F17" s="4">
        <v>399.0</v>
      </c>
      <c r="G17" s="4" t="s">
        <v>164</v>
      </c>
      <c r="H17" s="4" t="s">
        <v>133</v>
      </c>
      <c r="I17" s="4" t="s">
        <v>156</v>
      </c>
      <c r="J17" s="4" t="s">
        <v>157</v>
      </c>
      <c r="K17" s="4" t="s">
        <v>41</v>
      </c>
      <c r="L17" s="4" t="s">
        <v>43</v>
      </c>
      <c r="M17" s="8" t="str">
        <f t="array" ref="M17">XLOOKUP(C17,Customers!A:A,Customers!J:J)</f>
        <v>Low</v>
      </c>
      <c r="N17" s="8" t="str">
        <f t="shared" si="1"/>
        <v>Normal</v>
      </c>
      <c r="O17" s="8" t="str">
        <f t="shared" si="2"/>
        <v>Normal</v>
      </c>
    </row>
    <row r="18">
      <c r="A18" s="4">
        <v>17.0</v>
      </c>
      <c r="B18" s="4">
        <v>17.0</v>
      </c>
      <c r="C18" s="4">
        <v>17.0</v>
      </c>
      <c r="D18" s="6">
        <v>46236.6087962963</v>
      </c>
      <c r="E18" s="4" t="s">
        <v>30</v>
      </c>
      <c r="F18" s="4">
        <v>9800.0</v>
      </c>
      <c r="G18" s="4" t="s">
        <v>171</v>
      </c>
      <c r="H18" s="4" t="s">
        <v>68</v>
      </c>
      <c r="I18" s="4" t="s">
        <v>92</v>
      </c>
      <c r="J18" s="4" t="s">
        <v>96</v>
      </c>
      <c r="K18" s="4" t="s">
        <v>74</v>
      </c>
      <c r="L18" s="4" t="s">
        <v>43</v>
      </c>
      <c r="M18" s="8" t="str">
        <f t="array" ref="M18">XLOOKUP(C18,Customers!A:A,Customers!J:J)</f>
        <v>High</v>
      </c>
      <c r="N18" s="8" t="str">
        <f t="shared" si="1"/>
        <v>Review</v>
      </c>
      <c r="O18" s="8" t="str">
        <f t="shared" si="2"/>
        <v>High Risk Customer</v>
      </c>
    </row>
    <row r="19">
      <c r="A19" s="4">
        <v>18.0</v>
      </c>
      <c r="B19" s="4">
        <v>18.0</v>
      </c>
      <c r="C19" s="4">
        <v>18.0</v>
      </c>
      <c r="D19" s="6">
        <v>46236.63979166667</v>
      </c>
      <c r="E19" s="4" t="s">
        <v>30</v>
      </c>
      <c r="F19" s="4">
        <v>250.0</v>
      </c>
      <c r="G19" s="4" t="s">
        <v>174</v>
      </c>
      <c r="H19" s="4" t="s">
        <v>175</v>
      </c>
      <c r="I19" s="4" t="s">
        <v>37</v>
      </c>
      <c r="J19" s="4" t="s">
        <v>39</v>
      </c>
      <c r="K19" s="4" t="s">
        <v>41</v>
      </c>
      <c r="L19" s="4" t="s">
        <v>43</v>
      </c>
      <c r="M19" s="8" t="str">
        <f t="array" ref="M19">XLOOKUP(C19,Customers!A:A,Customers!J:J)</f>
        <v>Low</v>
      </c>
      <c r="N19" s="8" t="str">
        <f t="shared" si="1"/>
        <v>Normal</v>
      </c>
      <c r="O19" s="8" t="str">
        <f t="shared" si="2"/>
        <v>Normal</v>
      </c>
    </row>
    <row r="20">
      <c r="A20" s="4">
        <v>19.0</v>
      </c>
      <c r="B20" s="4">
        <v>19.0</v>
      </c>
      <c r="C20" s="4">
        <v>19.0</v>
      </c>
      <c r="D20" s="6">
        <v>46236.677037037036</v>
      </c>
      <c r="E20" s="4" t="s">
        <v>57</v>
      </c>
      <c r="F20" s="4">
        <v>92000.0</v>
      </c>
      <c r="G20" s="4" t="s">
        <v>179</v>
      </c>
      <c r="H20" s="4" t="s">
        <v>95</v>
      </c>
      <c r="I20" s="4" t="s">
        <v>167</v>
      </c>
      <c r="J20" s="4" t="s">
        <v>168</v>
      </c>
      <c r="K20" s="4" t="s">
        <v>182</v>
      </c>
      <c r="L20" s="4" t="s">
        <v>43</v>
      </c>
      <c r="M20" s="8" t="str">
        <f t="array" ref="M20">XLOOKUP(C20,Customers!A:A,Customers!J:J)</f>
        <v>Medium</v>
      </c>
      <c r="N20" s="8" t="str">
        <f t="shared" si="1"/>
        <v>Review</v>
      </c>
      <c r="O20" s="8" t="str">
        <f t="shared" si="2"/>
        <v>High Value Transaction</v>
      </c>
    </row>
    <row r="21">
      <c r="A21" s="4">
        <v>20.0</v>
      </c>
      <c r="B21" s="4">
        <v>20.0</v>
      </c>
      <c r="C21" s="4">
        <v>20.0</v>
      </c>
      <c r="D21" s="6">
        <v>46236.742685185185</v>
      </c>
      <c r="E21" s="4" t="s">
        <v>30</v>
      </c>
      <c r="F21" s="4">
        <v>3100.0</v>
      </c>
      <c r="G21" s="4" t="s">
        <v>186</v>
      </c>
      <c r="H21" s="4" t="s">
        <v>35</v>
      </c>
      <c r="I21" s="4" t="s">
        <v>59</v>
      </c>
      <c r="J21" s="4" t="s">
        <v>59</v>
      </c>
      <c r="K21" s="4" t="s">
        <v>83</v>
      </c>
      <c r="L21" s="4" t="s">
        <v>43</v>
      </c>
      <c r="M21" s="8" t="str">
        <f t="array" ref="M21">XLOOKUP(C21,Customers!A:A,Customers!J:J)</f>
        <v>Low</v>
      </c>
      <c r="N21" s="8" t="str">
        <f t="shared" si="1"/>
        <v>Normal</v>
      </c>
      <c r="O21" s="8" t="str">
        <f t="shared" si="2"/>
        <v>Normal</v>
      </c>
    </row>
    <row r="22">
      <c r="A22" s="4">
        <v>21.0</v>
      </c>
      <c r="B22" s="4">
        <v>21.0</v>
      </c>
      <c r="C22" s="4">
        <v>21.0</v>
      </c>
      <c r="D22" s="6">
        <v>46237.38773148148</v>
      </c>
      <c r="E22" s="4" t="s">
        <v>30</v>
      </c>
      <c r="F22" s="4">
        <v>650.0</v>
      </c>
      <c r="G22" s="4" t="s">
        <v>191</v>
      </c>
      <c r="H22" s="4" t="s">
        <v>50</v>
      </c>
      <c r="I22" s="4" t="s">
        <v>119</v>
      </c>
      <c r="J22" s="4" t="s">
        <v>73</v>
      </c>
      <c r="K22" s="4" t="s">
        <v>41</v>
      </c>
      <c r="L22" s="4" t="s">
        <v>43</v>
      </c>
      <c r="M22" s="8" t="str">
        <f t="array" ref="M22">XLOOKUP(C22,Customers!A:A,Customers!J:J)</f>
        <v>Medium</v>
      </c>
      <c r="N22" s="8" t="str">
        <f t="shared" si="1"/>
        <v>Normal</v>
      </c>
      <c r="O22" s="8" t="str">
        <f t="shared" si="2"/>
        <v>Normal</v>
      </c>
    </row>
    <row r="23">
      <c r="A23" s="4">
        <v>22.0</v>
      </c>
      <c r="B23" s="4">
        <v>22.0</v>
      </c>
      <c r="C23" s="4">
        <v>22.0</v>
      </c>
      <c r="D23" s="6">
        <v>46237.446284722224</v>
      </c>
      <c r="E23" s="4" t="s">
        <v>30</v>
      </c>
      <c r="F23" s="4">
        <v>1450.0</v>
      </c>
      <c r="G23" s="4" t="s">
        <v>197</v>
      </c>
      <c r="H23" s="4" t="s">
        <v>133</v>
      </c>
      <c r="I23" s="4" t="s">
        <v>178</v>
      </c>
      <c r="J23" s="4" t="s">
        <v>151</v>
      </c>
      <c r="K23" s="4" t="s">
        <v>41</v>
      </c>
      <c r="L23" s="4" t="s">
        <v>43</v>
      </c>
      <c r="M23" s="8" t="str">
        <f t="array" ref="M23">XLOOKUP(C23,Customers!A:A,Customers!J:J)</f>
        <v>Low</v>
      </c>
      <c r="N23" s="8" t="str">
        <f t="shared" si="1"/>
        <v>Normal</v>
      </c>
      <c r="O23" s="8" t="str">
        <f t="shared" si="2"/>
        <v>Normal</v>
      </c>
    </row>
    <row r="24">
      <c r="A24" s="4">
        <v>23.0</v>
      </c>
      <c r="B24" s="4">
        <v>23.0</v>
      </c>
      <c r="C24" s="4">
        <v>23.0</v>
      </c>
      <c r="D24" s="6">
        <v>46237.49736111111</v>
      </c>
      <c r="E24" s="4" t="s">
        <v>30</v>
      </c>
      <c r="F24" s="4">
        <v>18500.0</v>
      </c>
      <c r="G24" s="4" t="s">
        <v>201</v>
      </c>
      <c r="H24" s="4" t="s">
        <v>68</v>
      </c>
      <c r="I24" s="4" t="s">
        <v>183</v>
      </c>
      <c r="J24" s="4" t="s">
        <v>184</v>
      </c>
      <c r="K24" s="4" t="s">
        <v>83</v>
      </c>
      <c r="L24" s="4" t="s">
        <v>43</v>
      </c>
      <c r="M24" s="8" t="str">
        <f t="array" ref="M24">XLOOKUP(C24,Customers!A:A,Customers!J:J)</f>
        <v>High</v>
      </c>
      <c r="N24" s="8" t="str">
        <f t="shared" si="1"/>
        <v>Review</v>
      </c>
      <c r="O24" s="8" t="str">
        <f t="shared" si="2"/>
        <v>High Risk Customer</v>
      </c>
    </row>
    <row r="25">
      <c r="A25" s="4">
        <v>24.0</v>
      </c>
      <c r="B25" s="4">
        <v>24.0</v>
      </c>
      <c r="C25" s="4">
        <v>24.0</v>
      </c>
      <c r="D25" s="6">
        <v>46237.55912037037</v>
      </c>
      <c r="E25" s="4" t="s">
        <v>30</v>
      </c>
      <c r="F25" s="4">
        <v>420.0</v>
      </c>
      <c r="G25" s="4" t="s">
        <v>208</v>
      </c>
      <c r="H25" s="4" t="s">
        <v>175</v>
      </c>
      <c r="I25" s="4" t="s">
        <v>188</v>
      </c>
      <c r="J25" s="4" t="s">
        <v>39</v>
      </c>
      <c r="K25" s="4" t="s">
        <v>41</v>
      </c>
      <c r="L25" s="4" t="s">
        <v>43</v>
      </c>
      <c r="M25" s="8" t="str">
        <f t="array" ref="M25">XLOOKUP(C25,Customers!A:A,Customers!J:J)</f>
        <v>Low</v>
      </c>
      <c r="N25" s="8" t="str">
        <f t="shared" si="1"/>
        <v>Normal</v>
      </c>
      <c r="O25" s="8" t="str">
        <f t="shared" si="2"/>
        <v>Normal</v>
      </c>
    </row>
    <row r="26">
      <c r="A26" s="4">
        <v>25.0</v>
      </c>
      <c r="B26" s="4">
        <v>25.0</v>
      </c>
      <c r="C26" s="4">
        <v>25.0</v>
      </c>
      <c r="D26" s="6">
        <v>46237.594872685186</v>
      </c>
      <c r="E26" s="4" t="s">
        <v>57</v>
      </c>
      <c r="F26" s="4">
        <v>85000.0</v>
      </c>
      <c r="G26" s="4" t="s">
        <v>58</v>
      </c>
      <c r="H26" s="4" t="s">
        <v>32</v>
      </c>
      <c r="I26" s="4" t="s">
        <v>192</v>
      </c>
      <c r="J26" s="4" t="s">
        <v>193</v>
      </c>
      <c r="K26" s="4" t="s">
        <v>99</v>
      </c>
      <c r="L26" s="4" t="s">
        <v>43</v>
      </c>
      <c r="M26" s="8" t="str">
        <f t="array" ref="M26">XLOOKUP(C26,Customers!A:A,Customers!J:J)</f>
        <v>Medium</v>
      </c>
      <c r="N26" s="8" t="str">
        <f t="shared" si="1"/>
        <v>Review</v>
      </c>
      <c r="O26" s="8" t="str">
        <f t="shared" si="2"/>
        <v>High Value Transaction</v>
      </c>
    </row>
    <row r="27">
      <c r="A27" s="4">
        <v>26.0</v>
      </c>
      <c r="B27" s="4">
        <v>26.0</v>
      </c>
      <c r="C27" s="4">
        <v>26.0</v>
      </c>
      <c r="D27" s="6">
        <v>46237.656168981484</v>
      </c>
      <c r="E27" s="4" t="s">
        <v>30</v>
      </c>
      <c r="F27" s="4">
        <v>980.0</v>
      </c>
      <c r="G27" s="4" t="s">
        <v>212</v>
      </c>
      <c r="H27" s="4" t="s">
        <v>50</v>
      </c>
      <c r="I27" s="4" t="s">
        <v>195</v>
      </c>
      <c r="J27" s="4" t="s">
        <v>196</v>
      </c>
      <c r="K27" s="4" t="s">
        <v>41</v>
      </c>
      <c r="L27" s="4" t="s">
        <v>43</v>
      </c>
      <c r="M27" s="8" t="str">
        <f t="array" ref="M27">XLOOKUP(C27,Customers!A:A,Customers!J:J)</f>
        <v>Low</v>
      </c>
      <c r="N27" s="8" t="str">
        <f t="shared" si="1"/>
        <v>Normal</v>
      </c>
      <c r="O27" s="8" t="str">
        <f t="shared" si="2"/>
        <v>Normal</v>
      </c>
    </row>
    <row r="28">
      <c r="A28" s="4">
        <v>27.0</v>
      </c>
      <c r="B28" s="4">
        <v>27.0</v>
      </c>
      <c r="C28" s="4">
        <v>27.0</v>
      </c>
      <c r="D28" s="6">
        <v>46237.68871527778</v>
      </c>
      <c r="E28" s="4" t="s">
        <v>30</v>
      </c>
      <c r="F28" s="4">
        <v>7200.0</v>
      </c>
      <c r="G28" s="4" t="s">
        <v>213</v>
      </c>
      <c r="H28" s="4" t="s">
        <v>214</v>
      </c>
      <c r="I28" s="4" t="s">
        <v>200</v>
      </c>
      <c r="J28" s="4" t="s">
        <v>151</v>
      </c>
      <c r="K28" s="4" t="s">
        <v>74</v>
      </c>
      <c r="L28" s="4" t="s">
        <v>43</v>
      </c>
      <c r="M28" s="8" t="str">
        <f t="array" ref="M28">XLOOKUP(C28,Customers!A:A,Customers!J:J)</f>
        <v>High</v>
      </c>
      <c r="N28" s="8" t="str">
        <f t="shared" si="1"/>
        <v>Review</v>
      </c>
      <c r="O28" s="8" t="str">
        <f t="shared" si="2"/>
        <v>High Risk Customer</v>
      </c>
    </row>
    <row r="29">
      <c r="A29" s="4">
        <v>28.0</v>
      </c>
      <c r="B29" s="4">
        <v>28.0</v>
      </c>
      <c r="C29" s="4">
        <v>28.0</v>
      </c>
      <c r="D29" s="6">
        <v>46237.74894675926</v>
      </c>
      <c r="E29" s="4" t="s">
        <v>30</v>
      </c>
      <c r="F29" s="4">
        <v>3500.0</v>
      </c>
      <c r="G29" s="4" t="s">
        <v>215</v>
      </c>
      <c r="H29" s="4" t="s">
        <v>35</v>
      </c>
      <c r="I29" s="4" t="s">
        <v>103</v>
      </c>
      <c r="J29" s="4" t="s">
        <v>105</v>
      </c>
      <c r="K29" s="4" t="s">
        <v>83</v>
      </c>
      <c r="L29" s="4" t="s">
        <v>43</v>
      </c>
      <c r="M29" s="8" t="str">
        <f t="array" ref="M29">XLOOKUP(C29,Customers!A:A,Customers!J:J)</f>
        <v>Low</v>
      </c>
      <c r="N29" s="8" t="str">
        <f t="shared" si="1"/>
        <v>Normal</v>
      </c>
      <c r="O29" s="8" t="str">
        <f t="shared" si="2"/>
        <v>Normal</v>
      </c>
    </row>
    <row r="30">
      <c r="A30" s="4">
        <v>29.0</v>
      </c>
      <c r="B30" s="4">
        <v>29.0</v>
      </c>
      <c r="C30" s="4">
        <v>29.0</v>
      </c>
      <c r="D30" s="6">
        <v>46237.781435185185</v>
      </c>
      <c r="E30" s="4" t="s">
        <v>30</v>
      </c>
      <c r="F30" s="4">
        <v>760.0</v>
      </c>
      <c r="G30" s="4" t="s">
        <v>208</v>
      </c>
      <c r="H30" s="4" t="s">
        <v>175</v>
      </c>
      <c r="I30" s="4" t="s">
        <v>206</v>
      </c>
      <c r="J30" s="4" t="s">
        <v>207</v>
      </c>
      <c r="K30" s="4" t="s">
        <v>41</v>
      </c>
      <c r="L30" s="4" t="s">
        <v>43</v>
      </c>
      <c r="M30" s="8" t="str">
        <f t="array" ref="M30">XLOOKUP(C30,Customers!A:A,Customers!J:J)</f>
        <v>Medium</v>
      </c>
      <c r="N30" s="8" t="str">
        <f t="shared" si="1"/>
        <v>Normal</v>
      </c>
      <c r="O30" s="8" t="str">
        <f t="shared" si="2"/>
        <v>Normal</v>
      </c>
    </row>
    <row r="31">
      <c r="A31" s="4">
        <v>30.0</v>
      </c>
      <c r="B31" s="4">
        <v>30.0</v>
      </c>
      <c r="C31" s="4">
        <v>30.0</v>
      </c>
      <c r="D31" s="6">
        <v>46237.80003472222</v>
      </c>
      <c r="E31" s="4" t="s">
        <v>30</v>
      </c>
      <c r="F31" s="4">
        <v>2800.0</v>
      </c>
      <c r="G31" s="4" t="s">
        <v>216</v>
      </c>
      <c r="H31" s="4" t="s">
        <v>106</v>
      </c>
      <c r="I31" s="4" t="s">
        <v>211</v>
      </c>
      <c r="J31" s="4" t="s">
        <v>168</v>
      </c>
      <c r="K31" s="4" t="s">
        <v>74</v>
      </c>
      <c r="L31" s="4" t="s">
        <v>43</v>
      </c>
      <c r="M31" s="8" t="str">
        <f t="array" ref="M31">XLOOKUP(C31,Customers!A:A,Customers!J:J)</f>
        <v>Low</v>
      </c>
      <c r="N31" s="8" t="str">
        <f t="shared" si="1"/>
        <v>Normal</v>
      </c>
      <c r="O31" s="8" t="str">
        <f t="shared" si="2"/>
        <v>Normal</v>
      </c>
    </row>
    <row r="32">
      <c r="A32" s="4">
        <v>31.0</v>
      </c>
      <c r="B32" s="4">
        <v>5.0</v>
      </c>
      <c r="C32" s="4">
        <v>5.0</v>
      </c>
      <c r="D32" s="6">
        <v>46238.3821875</v>
      </c>
      <c r="E32" s="4" t="s">
        <v>30</v>
      </c>
      <c r="F32" s="4">
        <v>250000.0</v>
      </c>
      <c r="G32" s="4" t="s">
        <v>217</v>
      </c>
      <c r="H32" s="4" t="s">
        <v>35</v>
      </c>
      <c r="I32" s="4" t="s">
        <v>70</v>
      </c>
      <c r="J32" s="4" t="s">
        <v>73</v>
      </c>
      <c r="K32" s="4" t="s">
        <v>41</v>
      </c>
      <c r="L32" s="4" t="s">
        <v>43</v>
      </c>
      <c r="M32" s="8" t="str">
        <f t="array" ref="M32">XLOOKUP(C32,Customers!A:A,Customers!J:J)</f>
        <v>Medium</v>
      </c>
      <c r="N32" s="8" t="str">
        <f t="shared" si="1"/>
        <v>Review</v>
      </c>
      <c r="O32" s="8" t="str">
        <f t="shared" si="2"/>
        <v>High Value Transaction</v>
      </c>
    </row>
    <row r="33">
      <c r="A33" s="4">
        <v>32.0</v>
      </c>
      <c r="B33" s="4">
        <v>5.0</v>
      </c>
      <c r="C33" s="4">
        <v>5.0</v>
      </c>
      <c r="D33" s="6">
        <v>46238.383425925924</v>
      </c>
      <c r="E33" s="4" t="s">
        <v>30</v>
      </c>
      <c r="F33" s="4">
        <v>245000.0</v>
      </c>
      <c r="G33" s="4" t="s">
        <v>217</v>
      </c>
      <c r="H33" s="4" t="s">
        <v>35</v>
      </c>
      <c r="I33" s="4" t="s">
        <v>59</v>
      </c>
      <c r="J33" s="4" t="s">
        <v>59</v>
      </c>
      <c r="K33" s="4" t="s">
        <v>41</v>
      </c>
      <c r="L33" s="4" t="s">
        <v>43</v>
      </c>
      <c r="M33" s="8" t="str">
        <f t="array" ref="M33">XLOOKUP(C33,Customers!A:A,Customers!J:J)</f>
        <v>Medium</v>
      </c>
      <c r="N33" s="8" t="str">
        <f t="shared" si="1"/>
        <v>Review</v>
      </c>
      <c r="O33" s="8" t="str">
        <f t="shared" si="2"/>
        <v>High Value Transaction</v>
      </c>
    </row>
    <row r="34">
      <c r="A34" s="4">
        <v>33.0</v>
      </c>
      <c r="B34" s="4">
        <v>7.0</v>
      </c>
      <c r="C34" s="4">
        <v>7.0</v>
      </c>
      <c r="D34" s="6">
        <v>46238.42721064815</v>
      </c>
      <c r="E34" s="4" t="s">
        <v>30</v>
      </c>
      <c r="F34" s="4">
        <v>180000.0</v>
      </c>
      <c r="G34" s="4" t="s">
        <v>218</v>
      </c>
      <c r="H34" s="4" t="s">
        <v>219</v>
      </c>
      <c r="I34" s="4" t="s">
        <v>220</v>
      </c>
      <c r="J34" s="4" t="s">
        <v>220</v>
      </c>
      <c r="K34" s="4" t="s">
        <v>83</v>
      </c>
      <c r="L34" s="4" t="s">
        <v>43</v>
      </c>
      <c r="M34" s="8" t="str">
        <f t="array" ref="M34">XLOOKUP(C34,Customers!A:A,Customers!J:J)</f>
        <v>High</v>
      </c>
      <c r="N34" s="8" t="str">
        <f t="shared" si="1"/>
        <v>Review</v>
      </c>
      <c r="O34" s="8" t="str">
        <f t="shared" si="2"/>
        <v>High Value Transaction</v>
      </c>
    </row>
    <row r="35">
      <c r="A35" s="4">
        <v>34.0</v>
      </c>
      <c r="B35" s="4">
        <v>12.0</v>
      </c>
      <c r="C35" s="4">
        <v>12.0</v>
      </c>
      <c r="D35" s="6">
        <v>46238.47268518519</v>
      </c>
      <c r="E35" s="4" t="s">
        <v>30</v>
      </c>
      <c r="F35" s="4">
        <v>98000.0</v>
      </c>
      <c r="G35" s="4" t="s">
        <v>221</v>
      </c>
      <c r="H35" s="4" t="s">
        <v>68</v>
      </c>
      <c r="I35" s="4" t="s">
        <v>37</v>
      </c>
      <c r="J35" s="4" t="s">
        <v>39</v>
      </c>
      <c r="K35" s="4" t="s">
        <v>74</v>
      </c>
      <c r="L35" s="4" t="s">
        <v>222</v>
      </c>
      <c r="M35" s="8" t="str">
        <f t="array" ref="M35">XLOOKUP(C35,Customers!A:A,Customers!J:J)</f>
        <v>Low</v>
      </c>
      <c r="N35" s="8" t="str">
        <f t="shared" si="1"/>
        <v>Review</v>
      </c>
      <c r="O35" s="8" t="str">
        <f t="shared" si="2"/>
        <v>High Value Transaction</v>
      </c>
    </row>
    <row r="36">
      <c r="A36" s="4">
        <v>35.0</v>
      </c>
      <c r="B36" s="4">
        <v>12.0</v>
      </c>
      <c r="C36" s="4">
        <v>12.0</v>
      </c>
      <c r="D36" s="6">
        <v>46238.47305555556</v>
      </c>
      <c r="E36" s="4" t="s">
        <v>30</v>
      </c>
      <c r="F36" s="4">
        <v>98000.0</v>
      </c>
      <c r="G36" s="4" t="s">
        <v>221</v>
      </c>
      <c r="H36" s="4" t="s">
        <v>68</v>
      </c>
      <c r="I36" s="4" t="s">
        <v>37</v>
      </c>
      <c r="J36" s="4" t="s">
        <v>39</v>
      </c>
      <c r="K36" s="4" t="s">
        <v>74</v>
      </c>
      <c r="L36" s="4" t="s">
        <v>43</v>
      </c>
      <c r="M36" s="8" t="str">
        <f t="array" ref="M36">XLOOKUP(C36,Customers!A:A,Customers!J:J)</f>
        <v>Low</v>
      </c>
      <c r="N36" s="8" t="str">
        <f t="shared" si="1"/>
        <v>Review</v>
      </c>
      <c r="O36" s="8" t="str">
        <f t="shared" si="2"/>
        <v>High Value Transaction</v>
      </c>
    </row>
    <row r="37">
      <c r="A37" s="4">
        <v>36.0</v>
      </c>
      <c r="B37" s="4">
        <v>18.0</v>
      </c>
      <c r="C37" s="4">
        <v>18.0</v>
      </c>
      <c r="D37" s="6">
        <v>46238.50202546296</v>
      </c>
      <c r="E37" s="4" t="s">
        <v>30</v>
      </c>
      <c r="F37" s="4">
        <v>150000.0</v>
      </c>
      <c r="G37" s="4" t="s">
        <v>223</v>
      </c>
      <c r="H37" s="4" t="s">
        <v>224</v>
      </c>
      <c r="I37" s="4" t="s">
        <v>225</v>
      </c>
      <c r="J37" s="4" t="s">
        <v>225</v>
      </c>
      <c r="K37" s="4" t="s">
        <v>63</v>
      </c>
      <c r="L37" s="4" t="s">
        <v>43</v>
      </c>
      <c r="M37" s="8" t="str">
        <f t="array" ref="M37">XLOOKUP(C37,Customers!A:A,Customers!J:J)</f>
        <v>Low</v>
      </c>
      <c r="N37" s="8" t="str">
        <f t="shared" si="1"/>
        <v>Review</v>
      </c>
      <c r="O37" s="8" t="str">
        <f t="shared" si="2"/>
        <v>High Value Transaction</v>
      </c>
    </row>
    <row r="38">
      <c r="A38" s="4">
        <v>37.0</v>
      </c>
      <c r="B38" s="4">
        <v>22.0</v>
      </c>
      <c r="C38" s="4">
        <v>22.0</v>
      </c>
      <c r="D38" s="6">
        <v>46238.50591435185</v>
      </c>
      <c r="E38" s="4" t="s">
        <v>30</v>
      </c>
      <c r="F38" s="4">
        <v>149500.0</v>
      </c>
      <c r="G38" s="4" t="s">
        <v>223</v>
      </c>
      <c r="H38" s="4" t="s">
        <v>224</v>
      </c>
      <c r="I38" s="4" t="s">
        <v>225</v>
      </c>
      <c r="J38" s="4" t="s">
        <v>225</v>
      </c>
      <c r="K38" s="4" t="s">
        <v>63</v>
      </c>
      <c r="L38" s="4" t="s">
        <v>43</v>
      </c>
      <c r="M38" s="8" t="str">
        <f t="array" ref="M38">XLOOKUP(C38,Customers!A:A,Customers!J:J)</f>
        <v>Low</v>
      </c>
      <c r="N38" s="8" t="str">
        <f t="shared" si="1"/>
        <v>Review</v>
      </c>
      <c r="O38" s="8" t="str">
        <f t="shared" si="2"/>
        <v>High Value Transaction</v>
      </c>
    </row>
    <row r="39">
      <c r="A39" s="4">
        <v>38.0</v>
      </c>
      <c r="B39" s="4">
        <v>9.0</v>
      </c>
      <c r="C39" s="4">
        <v>9.0</v>
      </c>
      <c r="D39" s="6">
        <v>46238.55196759259</v>
      </c>
      <c r="E39" s="4" t="s">
        <v>30</v>
      </c>
      <c r="F39" s="4">
        <v>210000.0</v>
      </c>
      <c r="G39" s="4" t="s">
        <v>226</v>
      </c>
      <c r="H39" s="4" t="s">
        <v>214</v>
      </c>
      <c r="I39" s="4" t="s">
        <v>59</v>
      </c>
      <c r="J39" s="4" t="s">
        <v>59</v>
      </c>
      <c r="K39" s="4" t="s">
        <v>83</v>
      </c>
      <c r="L39" s="4" t="s">
        <v>43</v>
      </c>
      <c r="M39" s="8" t="str">
        <f t="array" ref="M39">XLOOKUP(C39,Customers!A:A,Customers!J:J)</f>
        <v>High</v>
      </c>
      <c r="N39" s="8" t="str">
        <f t="shared" si="1"/>
        <v>Review</v>
      </c>
      <c r="O39" s="8" t="str">
        <f t="shared" si="2"/>
        <v>High Value Transaction</v>
      </c>
    </row>
    <row r="40">
      <c r="A40" s="4">
        <v>39.0</v>
      </c>
      <c r="B40" s="4">
        <v>9.0</v>
      </c>
      <c r="C40" s="4">
        <v>9.0</v>
      </c>
      <c r="D40" s="6">
        <v>46238.55357638889</v>
      </c>
      <c r="E40" s="4" t="s">
        <v>30</v>
      </c>
      <c r="F40" s="4">
        <v>205000.0</v>
      </c>
      <c r="G40" s="4" t="s">
        <v>226</v>
      </c>
      <c r="H40" s="4" t="s">
        <v>214</v>
      </c>
      <c r="I40" s="4" t="s">
        <v>103</v>
      </c>
      <c r="J40" s="4" t="s">
        <v>105</v>
      </c>
      <c r="K40" s="4" t="s">
        <v>83</v>
      </c>
      <c r="L40" s="4" t="s">
        <v>43</v>
      </c>
      <c r="M40" s="8" t="str">
        <f t="array" ref="M40">XLOOKUP(C40,Customers!A:A,Customers!J:J)</f>
        <v>High</v>
      </c>
      <c r="N40" s="8" t="str">
        <f t="shared" si="1"/>
        <v>Review</v>
      </c>
      <c r="O40" s="8" t="str">
        <f t="shared" si="2"/>
        <v>High Value Transaction</v>
      </c>
    </row>
    <row r="41">
      <c r="A41" s="4">
        <v>40.0</v>
      </c>
      <c r="B41" s="4">
        <v>30.0</v>
      </c>
      <c r="C41" s="4">
        <v>30.0</v>
      </c>
      <c r="D41" s="6">
        <v>46238.58726851852</v>
      </c>
      <c r="E41" s="4" t="s">
        <v>30</v>
      </c>
      <c r="F41" s="4">
        <v>320000.0</v>
      </c>
      <c r="G41" s="4" t="s">
        <v>217</v>
      </c>
      <c r="H41" s="4" t="s">
        <v>35</v>
      </c>
      <c r="I41" s="4" t="s">
        <v>227</v>
      </c>
      <c r="J41" s="4" t="s">
        <v>228</v>
      </c>
      <c r="K41" s="4" t="s">
        <v>83</v>
      </c>
      <c r="L41" s="4" t="s">
        <v>43</v>
      </c>
      <c r="M41" s="8" t="str">
        <f t="array" ref="M41">XLOOKUP(C41,Customers!A:A,Customers!J:J)</f>
        <v>Low</v>
      </c>
      <c r="N41" s="8" t="str">
        <f t="shared" si="1"/>
        <v>Review</v>
      </c>
      <c r="O41" s="8" t="str">
        <f t="shared" si="2"/>
        <v>High Value Transaction</v>
      </c>
    </row>
    <row r="42">
      <c r="A42" s="4">
        <v>41.0</v>
      </c>
      <c r="B42" s="4">
        <v>30.0</v>
      </c>
      <c r="C42" s="4">
        <v>30.0</v>
      </c>
      <c r="D42" s="6">
        <v>46238.58833333333</v>
      </c>
      <c r="E42" s="4" t="s">
        <v>30</v>
      </c>
      <c r="F42" s="4">
        <v>318000.0</v>
      </c>
      <c r="G42" s="4" t="s">
        <v>217</v>
      </c>
      <c r="H42" s="4" t="s">
        <v>35</v>
      </c>
      <c r="I42" s="4" t="s">
        <v>227</v>
      </c>
      <c r="J42" s="4" t="s">
        <v>228</v>
      </c>
      <c r="K42" s="4" t="s">
        <v>83</v>
      </c>
      <c r="L42" s="4" t="s">
        <v>43</v>
      </c>
      <c r="M42" s="8" t="str">
        <f t="array" ref="M42">XLOOKUP(C42,Customers!A:A,Customers!J:J)</f>
        <v>Low</v>
      </c>
      <c r="N42" s="8" t="str">
        <f t="shared" si="1"/>
        <v>Review</v>
      </c>
      <c r="O42" s="8" t="str">
        <f t="shared" si="2"/>
        <v>High Value Transaction</v>
      </c>
    </row>
    <row r="43">
      <c r="A43" s="4">
        <v>42.0</v>
      </c>
      <c r="B43" s="4">
        <v>25.0</v>
      </c>
      <c r="C43" s="4">
        <v>25.0</v>
      </c>
      <c r="D43" s="6">
        <v>46238.63798611111</v>
      </c>
      <c r="E43" s="4" t="s">
        <v>30</v>
      </c>
      <c r="F43" s="4">
        <v>199999.0</v>
      </c>
      <c r="G43" s="4" t="s">
        <v>229</v>
      </c>
      <c r="H43" s="4" t="s">
        <v>230</v>
      </c>
      <c r="I43" s="4" t="s">
        <v>70</v>
      </c>
      <c r="J43" s="4" t="s">
        <v>73</v>
      </c>
      <c r="K43" s="4" t="s">
        <v>41</v>
      </c>
      <c r="L43" s="4" t="s">
        <v>43</v>
      </c>
      <c r="M43" s="8" t="str">
        <f t="array" ref="M43">XLOOKUP(C43,Customers!A:A,Customers!J:J)</f>
        <v>Medium</v>
      </c>
      <c r="N43" s="8" t="str">
        <f t="shared" si="1"/>
        <v>Review</v>
      </c>
      <c r="O43" s="8" t="str">
        <f t="shared" si="2"/>
        <v>High Value Transaction</v>
      </c>
    </row>
    <row r="44">
      <c r="A44" s="4">
        <v>43.0</v>
      </c>
      <c r="B44" s="4">
        <v>25.0</v>
      </c>
      <c r="C44" s="4">
        <v>25.0</v>
      </c>
      <c r="D44" s="6">
        <v>46238.63891203704</v>
      </c>
      <c r="E44" s="4" t="s">
        <v>30</v>
      </c>
      <c r="F44" s="4">
        <v>199500.0</v>
      </c>
      <c r="G44" s="4" t="s">
        <v>229</v>
      </c>
      <c r="H44" s="4" t="s">
        <v>230</v>
      </c>
      <c r="I44" s="4" t="s">
        <v>59</v>
      </c>
      <c r="J44" s="4" t="s">
        <v>59</v>
      </c>
      <c r="K44" s="4" t="s">
        <v>41</v>
      </c>
      <c r="L44" s="4" t="s">
        <v>43</v>
      </c>
      <c r="M44" s="8" t="str">
        <f t="array" ref="M44">XLOOKUP(C44,Customers!A:A,Customers!J:J)</f>
        <v>Medium</v>
      </c>
      <c r="N44" s="8" t="str">
        <f t="shared" si="1"/>
        <v>Review</v>
      </c>
      <c r="O44" s="8" t="str">
        <f t="shared" si="2"/>
        <v>High Value Transaction</v>
      </c>
    </row>
    <row r="45">
      <c r="A45" s="4">
        <v>44.0</v>
      </c>
      <c r="B45" s="4">
        <v>3.0</v>
      </c>
      <c r="C45" s="4">
        <v>3.0</v>
      </c>
      <c r="D45" s="6">
        <v>46238.69804398148</v>
      </c>
      <c r="E45" s="4" t="s">
        <v>30</v>
      </c>
      <c r="F45" s="4">
        <v>175000.0</v>
      </c>
      <c r="G45" s="4" t="s">
        <v>231</v>
      </c>
      <c r="H45" s="4" t="s">
        <v>68</v>
      </c>
      <c r="I45" s="4" t="s">
        <v>92</v>
      </c>
      <c r="J45" s="4" t="s">
        <v>96</v>
      </c>
      <c r="K45" s="4" t="s">
        <v>74</v>
      </c>
      <c r="L45" s="4" t="s">
        <v>43</v>
      </c>
      <c r="M45" s="8" t="str">
        <f t="array" ref="M45">XLOOKUP(C45,Customers!A:A,Customers!J:J)</f>
        <v>Medium</v>
      </c>
      <c r="N45" s="8" t="str">
        <f t="shared" si="1"/>
        <v>Review</v>
      </c>
      <c r="O45" s="8" t="str">
        <f t="shared" si="2"/>
        <v>High Value Transaction</v>
      </c>
    </row>
    <row r="46">
      <c r="A46" s="4">
        <v>45.0</v>
      </c>
      <c r="B46" s="4">
        <v>3.0</v>
      </c>
      <c r="C46" s="4">
        <v>3.0</v>
      </c>
      <c r="D46" s="6">
        <v>46238.69883101852</v>
      </c>
      <c r="E46" s="4" t="s">
        <v>30</v>
      </c>
      <c r="F46" s="4">
        <v>172000.0</v>
      </c>
      <c r="G46" s="4" t="s">
        <v>231</v>
      </c>
      <c r="H46" s="4" t="s">
        <v>68</v>
      </c>
      <c r="I46" s="4" t="s">
        <v>80</v>
      </c>
      <c r="J46" s="4" t="s">
        <v>82</v>
      </c>
      <c r="K46" s="4" t="s">
        <v>74</v>
      </c>
      <c r="L46" s="4" t="s">
        <v>43</v>
      </c>
      <c r="M46" s="8" t="str">
        <f t="array" ref="M46">XLOOKUP(C46,Customers!A:A,Customers!J:J)</f>
        <v>Medium</v>
      </c>
      <c r="N46" s="8" t="str">
        <f t="shared" si="1"/>
        <v>Review</v>
      </c>
      <c r="O46" s="8" t="str">
        <f t="shared" si="2"/>
        <v>High Value Transaction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6.88"/>
    <col customWidth="1" min="5" max="5" width="15.5"/>
    <col customWidth="1" min="6" max="6" width="20.13"/>
    <col customWidth="1" min="7" max="7" width="23.88"/>
  </cols>
  <sheetData>
    <row r="1">
      <c r="D1" s="9" t="s">
        <v>232</v>
      </c>
    </row>
    <row r="2">
      <c r="C2" s="3" t="s">
        <v>233</v>
      </c>
      <c r="D2" s="3" t="s">
        <v>234</v>
      </c>
      <c r="E2" s="3" t="s">
        <v>235</v>
      </c>
      <c r="F2" s="3" t="s">
        <v>236</v>
      </c>
      <c r="G2" s="3" t="s">
        <v>237</v>
      </c>
    </row>
    <row r="3">
      <c r="C3" s="10">
        <f>COUNTA(Customers!A2:A1002)</f>
        <v>30</v>
      </c>
      <c r="D3" s="10">
        <f>COUNTA(Accounts!A2:A1002)</f>
        <v>30</v>
      </c>
      <c r="E3" s="10">
        <f>COUNTA(Transactions!A2:A1002)</f>
        <v>45</v>
      </c>
      <c r="F3" s="10">
        <f>SUM(Transactions!E2:E1002)</f>
        <v>3517567.5</v>
      </c>
      <c r="G3" s="10">
        <f>AVERAGE(Transactions!E2:E1002)</f>
        <v>78168.16667</v>
      </c>
    </row>
    <row r="6">
      <c r="A6" s="11"/>
      <c r="B6" s="12" t="s">
        <v>238</v>
      </c>
    </row>
    <row r="7">
      <c r="A7" s="13"/>
      <c r="B7" s="3" t="s">
        <v>11</v>
      </c>
      <c r="C7" s="3" t="s">
        <v>239</v>
      </c>
    </row>
    <row r="8">
      <c r="B8" s="4" t="s">
        <v>43</v>
      </c>
      <c r="C8" s="8">
        <f>countif(Transactions!K:K,B8)</f>
        <v>44</v>
      </c>
    </row>
    <row r="9">
      <c r="B9" s="4" t="s">
        <v>222</v>
      </c>
      <c r="C9" s="8">
        <f>countif(Transactions!K:K,B9)</f>
        <v>1</v>
      </c>
    </row>
    <row r="10">
      <c r="B10" s="4" t="s">
        <v>240</v>
      </c>
      <c r="C10" s="8">
        <f>countif(Transactions!K:K,B10)</f>
        <v>0</v>
      </c>
    </row>
    <row r="18">
      <c r="B18" s="14" t="s">
        <v>241</v>
      </c>
    </row>
    <row r="19">
      <c r="B19" s="3" t="s">
        <v>10</v>
      </c>
      <c r="C19" s="3" t="s">
        <v>242</v>
      </c>
    </row>
    <row r="20">
      <c r="B20" s="4" t="s">
        <v>30</v>
      </c>
      <c r="C20" s="8">
        <f>COUNTIF(Transactions!D:D,B20)</f>
        <v>40</v>
      </c>
    </row>
    <row r="21">
      <c r="B21" s="4" t="s">
        <v>57</v>
      </c>
      <c r="C21" s="8">
        <f>COUNTIF(Transactions!D:D,B21)</f>
        <v>5</v>
      </c>
    </row>
    <row r="29">
      <c r="B29" s="14" t="s">
        <v>243</v>
      </c>
    </row>
    <row r="30">
      <c r="B30" s="1" t="s">
        <v>24</v>
      </c>
      <c r="C30" s="1" t="s">
        <v>242</v>
      </c>
    </row>
    <row r="31">
      <c r="B31" s="4" t="s">
        <v>41</v>
      </c>
      <c r="C31" s="8">
        <f>COUNTIF(Transactions!J:J,B31)</f>
        <v>16</v>
      </c>
    </row>
    <row r="32">
      <c r="B32" s="4" t="s">
        <v>74</v>
      </c>
      <c r="C32" s="8">
        <f>COUNTIF(Transactions!J:J,B32)</f>
        <v>10</v>
      </c>
    </row>
    <row r="33">
      <c r="B33" s="4" t="s">
        <v>83</v>
      </c>
      <c r="C33" s="8">
        <f>COUNTIF(Transactions!J:J,B33)</f>
        <v>12</v>
      </c>
    </row>
    <row r="34">
      <c r="B34" s="4" t="s">
        <v>63</v>
      </c>
      <c r="C34" s="8">
        <f>COUNTIF(Transactions!J:J,B34)</f>
        <v>4</v>
      </c>
    </row>
    <row r="35">
      <c r="B35" s="4" t="s">
        <v>99</v>
      </c>
      <c r="C35" s="8">
        <f>COUNTIF(Transactions!J:J,B35)</f>
        <v>2</v>
      </c>
    </row>
    <row r="36">
      <c r="B36" s="4" t="s">
        <v>182</v>
      </c>
      <c r="C36" s="8">
        <f>COUNTIF(Transactions!J:J,B36)</f>
        <v>1</v>
      </c>
    </row>
    <row r="41">
      <c r="B41" s="14" t="s">
        <v>244</v>
      </c>
    </row>
    <row r="42">
      <c r="B42" s="15" t="s">
        <v>29</v>
      </c>
      <c r="C42" s="15" t="s">
        <v>245</v>
      </c>
    </row>
    <row r="43">
      <c r="B43" s="4" t="s">
        <v>51</v>
      </c>
      <c r="C43" s="8">
        <f>COUNTIF(Customers!J:J,B43)</f>
        <v>17</v>
      </c>
    </row>
    <row r="44">
      <c r="B44" s="4" t="s">
        <v>66</v>
      </c>
      <c r="C44" s="8">
        <f>COUNTIF(Customers!J:J,B44)</f>
        <v>8</v>
      </c>
    </row>
    <row r="45">
      <c r="B45" s="4" t="s">
        <v>98</v>
      </c>
      <c r="C45" s="8">
        <f>COUNTIF(Customers!J:J,B45)</f>
        <v>5</v>
      </c>
    </row>
    <row r="54">
      <c r="D54" s="16" t="s">
        <v>246</v>
      </c>
    </row>
    <row r="55">
      <c r="C55" s="1" t="s">
        <v>247</v>
      </c>
      <c r="D55" s="1" t="s">
        <v>248</v>
      </c>
      <c r="E55" s="1" t="s">
        <v>249</v>
      </c>
      <c r="F55" s="1" t="s">
        <v>250</v>
      </c>
      <c r="G55" s="1" t="s">
        <v>251</v>
      </c>
      <c r="H55" s="1" t="s">
        <v>252</v>
      </c>
    </row>
    <row r="56">
      <c r="C56" s="8">
        <f>COUNTIF('Fraud Risk Transactions'!N:N,"Review")</f>
        <v>24</v>
      </c>
      <c r="D56" s="8">
        <f>COUNTIF('Fraud Risk Transactions'!N:N,"Normal")</f>
        <v>21</v>
      </c>
      <c r="E56" s="8">
        <f>COUNTIF('Fraud Risk Transactions'!F:F,"&gt;50000")</f>
        <v>20</v>
      </c>
      <c r="F56" s="8">
        <f>COUNTIF('Fraud Risk Transactions'!L:L,"Failed")</f>
        <v>1</v>
      </c>
      <c r="G56" s="8">
        <f>COUNTIF('Fraud Risk Transactions'!M:M,"High")</f>
        <v>8</v>
      </c>
      <c r="H56" s="8">
        <f>C56/(C56/D56)</f>
        <v>21</v>
      </c>
    </row>
    <row r="72" ht="22.5" customHeight="1">
      <c r="C72" s="17" t="s">
        <v>253</v>
      </c>
      <c r="D72" s="17" t="s">
        <v>242</v>
      </c>
    </row>
    <row r="73" ht="22.5" customHeight="1">
      <c r="C73" s="18" t="s">
        <v>249</v>
      </c>
      <c r="D73" s="19">
        <f>E56</f>
        <v>20</v>
      </c>
    </row>
    <row r="74" ht="22.5" customHeight="1">
      <c r="C74" s="18" t="s">
        <v>250</v>
      </c>
      <c r="D74" s="19">
        <f>F56</f>
        <v>1</v>
      </c>
    </row>
    <row r="75" ht="22.5" customHeight="1">
      <c r="C75" s="18" t="s">
        <v>251</v>
      </c>
      <c r="D75" s="19">
        <f>G56</f>
        <v>8</v>
      </c>
    </row>
  </sheetData>
  <mergeCells count="1">
    <mergeCell ref="D1:F1"/>
  </mergeCells>
  <drawing r:id="rId1"/>
  <tableParts count="1">
    <tablePart r:id="rId3"/>
  </tableParts>
</worksheet>
</file>